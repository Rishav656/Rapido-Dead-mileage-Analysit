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11c4d00b236189c/Desktop/"/>
    </mc:Choice>
  </mc:AlternateContent>
  <xr:revisionPtr revIDLastSave="45" documentId="8_{059F6712-5D92-4E6F-B4FD-81803284098E}" xr6:coauthVersionLast="47" xr6:coauthVersionMax="47" xr10:uidLastSave="{1BE58598-2075-4491-8D0F-D9DF00103092}"/>
  <bookViews>
    <workbookView xWindow="-108" yWindow="-108" windowWidth="23256" windowHeight="12456" activeTab="1" xr2:uid="{15A72B46-BD19-4A32-AAE5-26655C5F26E7}"/>
  </bookViews>
  <sheets>
    <sheet name="Rider" sheetId="1" r:id="rId1"/>
    <sheet name="User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2" i="2" l="1"/>
  <c r="F3" i="2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62" i="2"/>
  <c r="F63" i="2"/>
  <c r="F64" i="2"/>
  <c r="F65" i="2"/>
  <c r="F66" i="2"/>
  <c r="F67" i="2"/>
  <c r="F68" i="2"/>
  <c r="F69" i="2"/>
  <c r="F70" i="2"/>
  <c r="F71" i="2"/>
  <c r="F72" i="2"/>
  <c r="F73" i="2"/>
  <c r="F74" i="2"/>
  <c r="F75" i="2"/>
  <c r="F76" i="2"/>
  <c r="F77" i="2"/>
  <c r="F78" i="2"/>
  <c r="F79" i="2"/>
  <c r="F80" i="2"/>
  <c r="F81" i="2"/>
  <c r="F82" i="2"/>
  <c r="F83" i="2"/>
  <c r="F84" i="2"/>
  <c r="F85" i="2"/>
  <c r="F86" i="2"/>
  <c r="F87" i="2"/>
  <c r="F88" i="2"/>
  <c r="F89" i="2"/>
  <c r="F90" i="2"/>
  <c r="F91" i="2"/>
  <c r="F92" i="2"/>
  <c r="F93" i="2"/>
  <c r="F94" i="2"/>
  <c r="F95" i="2"/>
  <c r="F96" i="2"/>
  <c r="F97" i="2"/>
  <c r="F98" i="2"/>
  <c r="F99" i="2"/>
  <c r="F100" i="2"/>
  <c r="F101" i="2"/>
</calcChain>
</file>

<file path=xl/sharedStrings.xml><?xml version="1.0" encoding="utf-8"?>
<sst xmlns="http://schemas.openxmlformats.org/spreadsheetml/2006/main" count="1929" uniqueCount="445">
  <si>
    <t>Ride_ID</t>
  </si>
  <si>
    <t>Date</t>
  </si>
  <si>
    <t>Time</t>
  </si>
  <si>
    <t>Customer_ID</t>
  </si>
  <si>
    <t>Vehicle_Type</t>
  </si>
  <si>
    <t>Pickup_Area</t>
  </si>
  <si>
    <t>Drop_Area</t>
  </si>
  <si>
    <t>Distance_km</t>
  </si>
  <si>
    <t>Fare_INR</t>
  </si>
  <si>
    <t>Status</t>
  </si>
  <si>
    <t>Cancellation_Reason</t>
  </si>
  <si>
    <t>Service_Level</t>
  </si>
  <si>
    <t>Payment_Method</t>
  </si>
  <si>
    <t>R-1001</t>
  </si>
  <si>
    <t>C-534</t>
  </si>
  <si>
    <t>Cab</t>
  </si>
  <si>
    <t>Hebbal</t>
  </si>
  <si>
    <t>Completed</t>
  </si>
  <si>
    <t>None</t>
  </si>
  <si>
    <t>Economic</t>
  </si>
  <si>
    <t>Wallet</t>
  </si>
  <si>
    <t>R-1002</t>
  </si>
  <si>
    <t>C-514</t>
  </si>
  <si>
    <t>Electronic City</t>
  </si>
  <si>
    <t>Cancelled</t>
  </si>
  <si>
    <t>Captain Late</t>
  </si>
  <si>
    <t>Card</t>
  </si>
  <si>
    <t>R-1003</t>
  </si>
  <si>
    <t>C-532</t>
  </si>
  <si>
    <t>Bike</t>
  </si>
  <si>
    <t>Indiranagar</t>
  </si>
  <si>
    <t>Basic</t>
  </si>
  <si>
    <t>Cash</t>
  </si>
  <si>
    <t>R-1004</t>
  </si>
  <si>
    <t>C-517</t>
  </si>
  <si>
    <t>Auto Share</t>
  </si>
  <si>
    <t>Bellandur</t>
  </si>
  <si>
    <t>R-1005</t>
  </si>
  <si>
    <t>C-536</t>
  </si>
  <si>
    <t>Parcel</t>
  </si>
  <si>
    <t>Whitefield</t>
  </si>
  <si>
    <t>Delivery</t>
  </si>
  <si>
    <t>R-1006</t>
  </si>
  <si>
    <t>C-550</t>
  </si>
  <si>
    <t>Jayanagar</t>
  </si>
  <si>
    <t>MG Road</t>
  </si>
  <si>
    <t>R-1007</t>
  </si>
  <si>
    <t>C-533</t>
  </si>
  <si>
    <t>Koramangala</t>
  </si>
  <si>
    <t>R-1008</t>
  </si>
  <si>
    <t>C-502</t>
  </si>
  <si>
    <t>Marathahalli</t>
  </si>
  <si>
    <t>R-1009</t>
  </si>
  <si>
    <t>Premium</t>
  </si>
  <si>
    <t>R-1010</t>
  </si>
  <si>
    <t>Auto</t>
  </si>
  <si>
    <t>HSR Layout</t>
  </si>
  <si>
    <t>R-1011</t>
  </si>
  <si>
    <t>C-501</t>
  </si>
  <si>
    <t>UPI</t>
  </si>
  <si>
    <t>R-1012</t>
  </si>
  <si>
    <t>C-526</t>
  </si>
  <si>
    <t>R-1013</t>
  </si>
  <si>
    <t>R-1014</t>
  </si>
  <si>
    <t>C-508</t>
  </si>
  <si>
    <t>R-1015</t>
  </si>
  <si>
    <t>C-510</t>
  </si>
  <si>
    <t>R-1016</t>
  </si>
  <si>
    <t>C-519</t>
  </si>
  <si>
    <t>R-1017</t>
  </si>
  <si>
    <t>Technical Issue</t>
  </si>
  <si>
    <t>R-1018</t>
  </si>
  <si>
    <t>C-507</t>
  </si>
  <si>
    <t>R-1019</t>
  </si>
  <si>
    <t>C-547</t>
  </si>
  <si>
    <t>R-1020</t>
  </si>
  <si>
    <t>R-1021</t>
  </si>
  <si>
    <t>C-504</t>
  </si>
  <si>
    <t>Wrong Location</t>
  </si>
  <si>
    <t>R-1022</t>
  </si>
  <si>
    <t>R-1023</t>
  </si>
  <si>
    <t>R-1024</t>
  </si>
  <si>
    <t>R-1025</t>
  </si>
  <si>
    <t>C-516</t>
  </si>
  <si>
    <t>R-1026</t>
  </si>
  <si>
    <t>C-511</t>
  </si>
  <si>
    <t>R-1027</t>
  </si>
  <si>
    <t>C-528</t>
  </si>
  <si>
    <t>Changed Mind</t>
  </si>
  <si>
    <t>R-1028</t>
  </si>
  <si>
    <t>C-515</t>
  </si>
  <si>
    <t>R-1029</t>
  </si>
  <si>
    <t>C-522</t>
  </si>
  <si>
    <t>R-1030</t>
  </si>
  <si>
    <t>C-546</t>
  </si>
  <si>
    <t>R-1031</t>
  </si>
  <si>
    <t>R-1032</t>
  </si>
  <si>
    <t>C-518</t>
  </si>
  <si>
    <t>R-1033</t>
  </si>
  <si>
    <t>C-513</t>
  </si>
  <si>
    <t>R-1034</t>
  </si>
  <si>
    <t>R-1035</t>
  </si>
  <si>
    <t>R-1036</t>
  </si>
  <si>
    <t>R-1037</t>
  </si>
  <si>
    <t>C-549</t>
  </si>
  <si>
    <t>R-1038</t>
  </si>
  <si>
    <t>C-537</t>
  </si>
  <si>
    <t>R-1039</t>
  </si>
  <si>
    <t>R-1040</t>
  </si>
  <si>
    <t>C-521</t>
  </si>
  <si>
    <t>R-1041</t>
  </si>
  <si>
    <t>C-520</t>
  </si>
  <si>
    <t>R-1042</t>
  </si>
  <si>
    <t>C-512</t>
  </si>
  <si>
    <t>R-1043</t>
  </si>
  <si>
    <t>R-1044</t>
  </si>
  <si>
    <t>R-1045</t>
  </si>
  <si>
    <t>C-524</t>
  </si>
  <si>
    <t>R-1046</t>
  </si>
  <si>
    <t>C-539</t>
  </si>
  <si>
    <t>R-1047</t>
  </si>
  <si>
    <t>C-544</t>
  </si>
  <si>
    <t>R-1048</t>
  </si>
  <si>
    <t>R-1049</t>
  </si>
  <si>
    <t>R-1050</t>
  </si>
  <si>
    <t>R-1051</t>
  </si>
  <si>
    <t>R-1052</t>
  </si>
  <si>
    <t>R-1053</t>
  </si>
  <si>
    <t>R-1054</t>
  </si>
  <si>
    <t>R-1055</t>
  </si>
  <si>
    <t>R-1056</t>
  </si>
  <si>
    <t>R-1057</t>
  </si>
  <si>
    <t>R-1058</t>
  </si>
  <si>
    <t>R-1059</t>
  </si>
  <si>
    <t>C-542</t>
  </si>
  <si>
    <t>R-1060</t>
  </si>
  <si>
    <t>High Fare</t>
  </si>
  <si>
    <t>R-1061</t>
  </si>
  <si>
    <t>C-545</t>
  </si>
  <si>
    <t>R-1062</t>
  </si>
  <si>
    <t>R-1063</t>
  </si>
  <si>
    <t>R-1064</t>
  </si>
  <si>
    <t>R-1065</t>
  </si>
  <si>
    <t>C-525</t>
  </si>
  <si>
    <t>R-1066</t>
  </si>
  <si>
    <t>C-543</t>
  </si>
  <si>
    <t>R-1067</t>
  </si>
  <si>
    <t>C-530</t>
  </si>
  <si>
    <t>R-1068</t>
  </si>
  <si>
    <t>R-1069</t>
  </si>
  <si>
    <t>R-1070</t>
  </si>
  <si>
    <t>C-505</t>
  </si>
  <si>
    <t>R-1071</t>
  </si>
  <si>
    <t>R-1072</t>
  </si>
  <si>
    <t>R-1073</t>
  </si>
  <si>
    <t>C-529</t>
  </si>
  <si>
    <t>R-1074</t>
  </si>
  <si>
    <t>R-1075</t>
  </si>
  <si>
    <t>C-509</t>
  </si>
  <si>
    <t>R-1076</t>
  </si>
  <si>
    <t>R-1077</t>
  </si>
  <si>
    <t>R-1078</t>
  </si>
  <si>
    <t>C-548</t>
  </si>
  <si>
    <t>R-1079</t>
  </si>
  <si>
    <t>R-1080</t>
  </si>
  <si>
    <t>R-1081</t>
  </si>
  <si>
    <t>R-1082</t>
  </si>
  <si>
    <t>C-500</t>
  </si>
  <si>
    <t>R-1083</t>
  </si>
  <si>
    <t>R-1084</t>
  </si>
  <si>
    <t>R-1085</t>
  </si>
  <si>
    <t>R-1086</t>
  </si>
  <si>
    <t>R-1087</t>
  </si>
  <si>
    <t>R-1088</t>
  </si>
  <si>
    <t>R-1089</t>
  </si>
  <si>
    <t>R-1090</t>
  </si>
  <si>
    <t>R-1091</t>
  </si>
  <si>
    <t>R-1092</t>
  </si>
  <si>
    <t>R-1093</t>
  </si>
  <si>
    <t>R-1094</t>
  </si>
  <si>
    <t>R-1095</t>
  </si>
  <si>
    <t>R-1096</t>
  </si>
  <si>
    <t>R-1097</t>
  </si>
  <si>
    <t>R-1098</t>
  </si>
  <si>
    <t>R-1099</t>
  </si>
  <si>
    <t>C-540</t>
  </si>
  <si>
    <t>R-1100</t>
  </si>
  <si>
    <t>Rider_ID</t>
  </si>
  <si>
    <t>User_Name</t>
  </si>
  <si>
    <t>Gender</t>
  </si>
  <si>
    <t>Age</t>
  </si>
  <si>
    <t>Phone_Number</t>
  </si>
  <si>
    <t>Email_ID</t>
  </si>
  <si>
    <t>Signup_Date</t>
  </si>
  <si>
    <t>Total_Rides</t>
  </si>
  <si>
    <t>Rating</t>
  </si>
  <si>
    <t>Payment_Mode</t>
  </si>
  <si>
    <t>Wallet_INR</t>
  </si>
  <si>
    <t>Home_Area</t>
  </si>
  <si>
    <t>Work_Area</t>
  </si>
  <si>
    <t>Subscription</t>
  </si>
  <si>
    <t>Arjun Sharma</t>
  </si>
  <si>
    <t>Male</t>
  </si>
  <si>
    <t>arjun.sharma@example.com</t>
  </si>
  <si>
    <t>Gold</t>
  </si>
  <si>
    <t>Priya Mehta</t>
  </si>
  <si>
    <t>Female</t>
  </si>
  <si>
    <t>priya.mehta@example.com</t>
  </si>
  <si>
    <t>C-503</t>
  </si>
  <si>
    <t>Rahul Singh</t>
  </si>
  <si>
    <t>rahul.singh@example.com</t>
  </si>
  <si>
    <t>Cab (Premium)</t>
  </si>
  <si>
    <t>Platinum</t>
  </si>
  <si>
    <t>Sneha Tiwari</t>
  </si>
  <si>
    <t>sneha.tiwari@example.com</t>
  </si>
  <si>
    <t>Amit Deshmukh</t>
  </si>
  <si>
    <t>amit.deshmukh@example.com</t>
  </si>
  <si>
    <t>C-506</t>
  </si>
  <si>
    <t>Neha Gupta</t>
  </si>
  <si>
    <t>neha.gupta@example.com</t>
  </si>
  <si>
    <t>Vikram Reddy</t>
  </si>
  <si>
    <t>vikram.reddy@example.com</t>
  </si>
  <si>
    <t>Cab (Economy)</t>
  </si>
  <si>
    <t>Anjali Nair</t>
  </si>
  <si>
    <t>anjali.nair@example.com</t>
  </si>
  <si>
    <t>Manoj Verma</t>
  </si>
  <si>
    <t>manoj.verma@example.com</t>
  </si>
  <si>
    <t>Riya Patel</t>
  </si>
  <si>
    <t>riya.patel@example.com</t>
  </si>
  <si>
    <t>Deepak Bhat</t>
  </si>
  <si>
    <t>deepak.bhat@example.com</t>
  </si>
  <si>
    <t>Anil Verma</t>
  </si>
  <si>
    <t>anil.verma@example.com</t>
  </si>
  <si>
    <t>Swati Sharma</t>
  </si>
  <si>
    <t>swati.sharma@example.com</t>
  </si>
  <si>
    <t>Rashmi Kulkarni</t>
  </si>
  <si>
    <t>rashmi.kulkarni@example.com</t>
  </si>
  <si>
    <t>Vijay Gupta</t>
  </si>
  <si>
    <t>vijay.gupta@example.com</t>
  </si>
  <si>
    <t>Pooja Reddy</t>
  </si>
  <si>
    <t>pooja.reddy@example.com</t>
  </si>
  <si>
    <t>Manoj Singh</t>
  </si>
  <si>
    <t>manoj.singh@example.com</t>
  </si>
  <si>
    <t>Anita Nair</t>
  </si>
  <si>
    <t>anita.nair@example.com</t>
  </si>
  <si>
    <t>Rajesh Tiwari</t>
  </si>
  <si>
    <t>rajesh.tiwari@example.com</t>
  </si>
  <si>
    <t>Sunita Bhat</t>
  </si>
  <si>
    <t>sunita.bhat@example.com</t>
  </si>
  <si>
    <t>Kiran Mehta</t>
  </si>
  <si>
    <t>kiran.mehta@example.com</t>
  </si>
  <si>
    <t>Megha Deshmukh</t>
  </si>
  <si>
    <t>megha.deshmukh@example.com</t>
  </si>
  <si>
    <t>C-523</t>
  </si>
  <si>
    <t>Deepak Verma</t>
  </si>
  <si>
    <t>deepak.verma@example.com</t>
  </si>
  <si>
    <t>Kavita Sharma</t>
  </si>
  <si>
    <t>kavita.sharma@example.com</t>
  </si>
  <si>
    <t>Sanjay Singh</t>
  </si>
  <si>
    <t>sanjay.singh@example.com</t>
  </si>
  <si>
    <t>Anjali Gupta</t>
  </si>
  <si>
    <t>anjali.gupta@example.com</t>
  </si>
  <si>
    <t>C-527</t>
  </si>
  <si>
    <t>Rahul Reddy</t>
  </si>
  <si>
    <t>rahul.reddy@example.com</t>
  </si>
  <si>
    <t>Sneha Nair</t>
  </si>
  <si>
    <t>sneha.nair@example.com</t>
  </si>
  <si>
    <t>Amit Tiwari</t>
  </si>
  <si>
    <t>amit.tiwari@example.com</t>
  </si>
  <si>
    <t>Pooja Patel</t>
  </si>
  <si>
    <t>pooja.patel@example.com</t>
  </si>
  <si>
    <t>C-531</t>
  </si>
  <si>
    <t>Deepak Deshmukh</t>
  </si>
  <si>
    <t>deepak.deshmukh@example.com</t>
  </si>
  <si>
    <t>Anil Mehta</t>
  </si>
  <si>
    <t>anil.mehta@example.com</t>
  </si>
  <si>
    <t>Swati Reddy</t>
  </si>
  <si>
    <t>swati.reddy@example.com</t>
  </si>
  <si>
    <t>Rashmi Sharma</t>
  </si>
  <si>
    <t>rashmi.sharma@example.com</t>
  </si>
  <si>
    <t>C-535</t>
  </si>
  <si>
    <t>Vijay Singh</t>
  </si>
  <si>
    <t>vijay.singh@example.com</t>
  </si>
  <si>
    <t>Pooja Tiwari</t>
  </si>
  <si>
    <t>pooja.tiwari@example.com</t>
  </si>
  <si>
    <t>Manoj Deshmukh</t>
  </si>
  <si>
    <t>manoj.deshmukh@example.com</t>
  </si>
  <si>
    <t>C-538</t>
  </si>
  <si>
    <t>Anita Gupta</t>
  </si>
  <si>
    <t>anita.gupta@example.com</t>
  </si>
  <si>
    <t>Rajesh Bhat</t>
  </si>
  <si>
    <t>rajesh.bhat@example.com</t>
  </si>
  <si>
    <t>Sunita Mehta</t>
  </si>
  <si>
    <t>sunita.mehta@example.com</t>
  </si>
  <si>
    <t>C-541</t>
  </si>
  <si>
    <t>Kiran Sharma</t>
  </si>
  <si>
    <t>kiran.sharma@example.com</t>
  </si>
  <si>
    <t>Megha Singh</t>
  </si>
  <si>
    <t>megha.singh@example.com</t>
  </si>
  <si>
    <t>Deepak Tiwari</t>
  </si>
  <si>
    <t>deepak.tiwari@example.com</t>
  </si>
  <si>
    <t>Kavita Reddy</t>
  </si>
  <si>
    <t>kavita.reddy@example.com</t>
  </si>
  <si>
    <t>Sanjay Bhat</t>
  </si>
  <si>
    <t>sanjay.bhat@example.com</t>
  </si>
  <si>
    <t>Anjali Deshmukh</t>
  </si>
  <si>
    <t>anjali.deshmukh@example.com</t>
  </si>
  <si>
    <t>Rahul Mehta</t>
  </si>
  <si>
    <t>rahul.mehta@example.com</t>
  </si>
  <si>
    <t>Sneha Sharma</t>
  </si>
  <si>
    <t>sneha.sharma@example.com</t>
  </si>
  <si>
    <t>Amit Singh</t>
  </si>
  <si>
    <t>amit.singh@example.com</t>
  </si>
  <si>
    <t>Pooja Deshmukh</t>
  </si>
  <si>
    <t>pooja.deshmukh@example.com</t>
  </si>
  <si>
    <t>C-551</t>
  </si>
  <si>
    <t>Deepak Reddy</t>
  </si>
  <si>
    <t>deepak.reddy@example.com</t>
  </si>
  <si>
    <t>C-552</t>
  </si>
  <si>
    <t>Anil Tiwari</t>
  </si>
  <si>
    <t>anil.tiwari@example.com</t>
  </si>
  <si>
    <t>C-553</t>
  </si>
  <si>
    <t>Swati Bhat</t>
  </si>
  <si>
    <t>swati.bhat@example.com</t>
  </si>
  <si>
    <t>C-554</t>
  </si>
  <si>
    <t>Rashmi Mehta</t>
  </si>
  <si>
    <t>rashmi.mehta@example.com</t>
  </si>
  <si>
    <t>C-555</t>
  </si>
  <si>
    <t>Vijay Sharma</t>
  </si>
  <si>
    <t>vijay.sharma@example.com</t>
  </si>
  <si>
    <t>C-556</t>
  </si>
  <si>
    <t>Pooja Singh</t>
  </si>
  <si>
    <t>pooja.singh@example.com</t>
  </si>
  <si>
    <t>C-557</t>
  </si>
  <si>
    <t>Manoj Tiwari</t>
  </si>
  <si>
    <t>manoj.tiwari@example.com</t>
  </si>
  <si>
    <t>C-558</t>
  </si>
  <si>
    <t>Anita Deshmukh</t>
  </si>
  <si>
    <t>anita.deshmukh@example.com</t>
  </si>
  <si>
    <t>C-559</t>
  </si>
  <si>
    <t>Rajesh Reddy</t>
  </si>
  <si>
    <t>rajesh.reddy@example.com</t>
  </si>
  <si>
    <t>C-560</t>
  </si>
  <si>
    <t>Sunita Deshmukh</t>
  </si>
  <si>
    <t>sunita.deshmukh@example.com</t>
  </si>
  <si>
    <t>C-561</t>
  </si>
  <si>
    <t>C-562</t>
  </si>
  <si>
    <t>Megha Sharma</t>
  </si>
  <si>
    <t>megha.sharma@example.com</t>
  </si>
  <si>
    <t>C-563</t>
  </si>
  <si>
    <t>Deepak Singh</t>
  </si>
  <si>
    <t>deepak.singh@example.com</t>
  </si>
  <si>
    <t>C-564</t>
  </si>
  <si>
    <t>Kavita Tiwari</t>
  </si>
  <si>
    <t>kavita.tiwari@example.com</t>
  </si>
  <si>
    <t>C-565</t>
  </si>
  <si>
    <t>Sanjay Reddy</t>
  </si>
  <si>
    <t>sanjay.reddy@example.com</t>
  </si>
  <si>
    <t>C-566</t>
  </si>
  <si>
    <t>Anjali Bhat</t>
  </si>
  <si>
    <t>anjali.bhat@example.com</t>
  </si>
  <si>
    <t>C-567</t>
  </si>
  <si>
    <t>Rahul Deshmukh</t>
  </si>
  <si>
    <t>rahul.deshmukh@example.com</t>
  </si>
  <si>
    <t>C-568</t>
  </si>
  <si>
    <t>Sneha Mehta</t>
  </si>
  <si>
    <t>sneha.mehta@example.com</t>
  </si>
  <si>
    <t>C-569</t>
  </si>
  <si>
    <t>Amit Sharma</t>
  </si>
  <si>
    <t>amit.sharma@example.com</t>
  </si>
  <si>
    <t>C-570</t>
  </si>
  <si>
    <t>C-571</t>
  </si>
  <si>
    <t>C-572</t>
  </si>
  <si>
    <t>Anil Reddy</t>
  </si>
  <si>
    <t>anil.reddy@example.com</t>
  </si>
  <si>
    <t>C-573</t>
  </si>
  <si>
    <t>Swati Deshmukh</t>
  </si>
  <si>
    <t>swati.deshmukh@example.com</t>
  </si>
  <si>
    <t>C-574</t>
  </si>
  <si>
    <t>Rashmi Bhat</t>
  </si>
  <si>
    <t>rashmi.bhat@example.com</t>
  </si>
  <si>
    <t>C-575</t>
  </si>
  <si>
    <t>Vijay Mehta</t>
  </si>
  <si>
    <t>vijay.mehta@example.com</t>
  </si>
  <si>
    <t>C-576</t>
  </si>
  <si>
    <t>Pooja Sharma</t>
  </si>
  <si>
    <t>pooja.sharma@example.com</t>
  </si>
  <si>
    <t>C-577</t>
  </si>
  <si>
    <t>C-578</t>
  </si>
  <si>
    <t>Anita Tiwari</t>
  </si>
  <si>
    <t>anita.tiwari@example.com</t>
  </si>
  <si>
    <t>C-579</t>
  </si>
  <si>
    <t>Rajesh Deshmukh</t>
  </si>
  <si>
    <t>rajesh.deshmukh@example.com</t>
  </si>
  <si>
    <t>C-580</t>
  </si>
  <si>
    <t>Sunita Reddy</t>
  </si>
  <si>
    <t>sunita.reddy@example.com</t>
  </si>
  <si>
    <t>C-581</t>
  </si>
  <si>
    <t>Kiran Bhat</t>
  </si>
  <si>
    <t>kiran.bhat@example.com</t>
  </si>
  <si>
    <t>C-582</t>
  </si>
  <si>
    <t>Megha Mehta</t>
  </si>
  <si>
    <t>megha.mehta@example.com</t>
  </si>
  <si>
    <t>C-583</t>
  </si>
  <si>
    <t>Deepak Sharma</t>
  </si>
  <si>
    <t>deepak.sharma@example.com</t>
  </si>
  <si>
    <t>C-584</t>
  </si>
  <si>
    <t>Kavita Singh</t>
  </si>
  <si>
    <t>kavita.singh@example.com</t>
  </si>
  <si>
    <t>C-585</t>
  </si>
  <si>
    <t>Sanjay Tiwari</t>
  </si>
  <si>
    <t>sanjay.tiwari@example.com</t>
  </si>
  <si>
    <t>C-586</t>
  </si>
  <si>
    <t>Anjali Reddy</t>
  </si>
  <si>
    <t>anjali.reddy@example.com</t>
  </si>
  <si>
    <t>C-587</t>
  </si>
  <si>
    <t>Rahul Bhat</t>
  </si>
  <si>
    <t>rahul.bhat@example.com</t>
  </si>
  <si>
    <t>C-588</t>
  </si>
  <si>
    <t>Sneha Deshmukh</t>
  </si>
  <si>
    <t>sneha.deshmukh@example.com</t>
  </si>
  <si>
    <t>C-589</t>
  </si>
  <si>
    <t>Amit Mehta</t>
  </si>
  <si>
    <t>amit.mehta@example.com</t>
  </si>
  <si>
    <t>C-590</t>
  </si>
  <si>
    <t>C-591</t>
  </si>
  <si>
    <t>C-592</t>
  </si>
  <si>
    <t>C-593</t>
  </si>
  <si>
    <t>C-594</t>
  </si>
  <si>
    <t>Rashmi Deshmukh</t>
  </si>
  <si>
    <t>rashmi.deshmukh@example.com</t>
  </si>
  <si>
    <t>C-595</t>
  </si>
  <si>
    <t>Vijay Bhat</t>
  </si>
  <si>
    <t>vijay.bhat@example.com</t>
  </si>
  <si>
    <t>C-596</t>
  </si>
  <si>
    <t>Pooja Mehta</t>
  </si>
  <si>
    <t>pooja.mehta@example.com</t>
  </si>
  <si>
    <t>C-597</t>
  </si>
  <si>
    <t>Manoj Sharma</t>
  </si>
  <si>
    <t>manoj.sharma@example.com</t>
  </si>
  <si>
    <t>C-598</t>
  </si>
  <si>
    <t>Anita Singh</t>
  </si>
  <si>
    <t>anita.singh@example.com</t>
  </si>
  <si>
    <t>C-599</t>
  </si>
  <si>
    <t>C-600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</si>
</sst>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0"/>
      <color theme="1"/>
      <name val="Arial"/>
      <family val="2"/>
    </font>
    <font>
      <b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8">
    <xf numFmtId="0" fontId="0" fillId="0" borderId="0" xfId="0"/>
    <xf numFmtId="14" fontId="0" fillId="0" borderId="0" xfId="0" applyNumberFormat="1"/>
    <xf numFmtId="20" fontId="0" fillId="0" borderId="0" xfId="0" applyNumberFormat="1"/>
    <xf numFmtId="0" fontId="1" fillId="0" borderId="0" xfId="0" applyFont="1"/>
    <xf numFmtId="0" fontId="2" fillId="0" borderId="1" xfId="0" applyFont="1" applyBorder="1" applyAlignment="1">
      <alignment wrapText="1"/>
    </xf>
    <xf numFmtId="0" fontId="2" fillId="0" borderId="1" xfId="0" applyFont="1" applyBorder="1" applyAlignment="1">
      <alignment horizontal="right" wrapText="1"/>
    </xf>
    <xf numFmtId="14" fontId="2" fillId="0" borderId="1" xfId="0" applyNumberFormat="1" applyFont="1" applyBorder="1" applyAlignment="1">
      <alignment horizontal="right" wrapText="1"/>
    </xf>
    <xf numFmtId="0" fontId="3" fillId="0" borderId="1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93929F-E75D-495D-9997-B56E6F4A4D47}">
  <dimension ref="A1:N101"/>
  <sheetViews>
    <sheetView topLeftCell="A22" workbookViewId="0">
      <selection activeCell="N18" sqref="N18"/>
    </sheetView>
  </sheetViews>
  <sheetFormatPr defaultRowHeight="14.4" x14ac:dyDescent="0.3"/>
  <cols>
    <col min="1" max="1" width="4" bestFit="1" customWidth="1"/>
    <col min="2" max="2" width="9.33203125" bestFit="1" customWidth="1"/>
    <col min="3" max="3" width="9.5546875" bestFit="1" customWidth="1"/>
    <col min="4" max="4" width="6.33203125" bestFit="1" customWidth="1"/>
    <col min="5" max="5" width="14.88671875" bestFit="1" customWidth="1"/>
    <col min="6" max="6" width="15.44140625" bestFit="1" customWidth="1"/>
    <col min="7" max="7" width="14.33203125" bestFit="1" customWidth="1"/>
    <col min="8" max="8" width="12.6640625" bestFit="1" customWidth="1"/>
    <col min="9" max="9" width="14.88671875" bestFit="1" customWidth="1"/>
    <col min="10" max="10" width="10.6640625" bestFit="1" customWidth="1"/>
    <col min="11" max="11" width="9.88671875" bestFit="1" customWidth="1"/>
    <col min="12" max="12" width="23.33203125" bestFit="1" customWidth="1"/>
    <col min="13" max="13" width="15.77734375" bestFit="1" customWidth="1"/>
    <col min="14" max="14" width="20.33203125" bestFit="1" customWidth="1"/>
  </cols>
  <sheetData>
    <row r="1" spans="1:14" ht="18" x14ac:dyDescent="0.35"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</row>
    <row r="2" spans="1:14" x14ac:dyDescent="0.3">
      <c r="A2">
        <v>1</v>
      </c>
      <c r="B2" t="s">
        <v>13</v>
      </c>
      <c r="C2" s="1">
        <v>45302</v>
      </c>
      <c r="D2" s="2">
        <v>0.76041666666666663</v>
      </c>
      <c r="E2" t="s">
        <v>14</v>
      </c>
      <c r="F2" t="s">
        <v>15</v>
      </c>
      <c r="G2" t="s">
        <v>16</v>
      </c>
      <c r="H2" t="s">
        <v>16</v>
      </c>
      <c r="I2">
        <v>11.8</v>
      </c>
      <c r="J2">
        <v>354</v>
      </c>
      <c r="K2" t="s">
        <v>17</v>
      </c>
      <c r="L2" t="s">
        <v>18</v>
      </c>
      <c r="M2" t="s">
        <v>19</v>
      </c>
      <c r="N2" t="s">
        <v>20</v>
      </c>
    </row>
    <row r="3" spans="1:14" x14ac:dyDescent="0.3">
      <c r="A3">
        <v>2</v>
      </c>
      <c r="B3" t="s">
        <v>21</v>
      </c>
      <c r="C3" s="1">
        <v>45298</v>
      </c>
      <c r="D3" s="2">
        <v>0.625</v>
      </c>
      <c r="E3" t="s">
        <v>22</v>
      </c>
      <c r="F3" t="s">
        <v>15</v>
      </c>
      <c r="G3" t="s">
        <v>23</v>
      </c>
      <c r="H3" t="s">
        <v>16</v>
      </c>
      <c r="I3">
        <v>2.4</v>
      </c>
      <c r="J3">
        <v>72</v>
      </c>
      <c r="K3" t="s">
        <v>24</v>
      </c>
      <c r="L3" t="s">
        <v>25</v>
      </c>
      <c r="M3" t="s">
        <v>19</v>
      </c>
      <c r="N3" t="s">
        <v>26</v>
      </c>
    </row>
    <row r="4" spans="1:14" x14ac:dyDescent="0.3">
      <c r="A4">
        <v>3</v>
      </c>
      <c r="B4" t="s">
        <v>27</v>
      </c>
      <c r="C4" s="1">
        <v>45311</v>
      </c>
      <c r="D4" s="2">
        <v>0.84375</v>
      </c>
      <c r="E4" t="s">
        <v>28</v>
      </c>
      <c r="F4" t="s">
        <v>29</v>
      </c>
      <c r="G4" t="s">
        <v>30</v>
      </c>
      <c r="H4" t="s">
        <v>16</v>
      </c>
      <c r="I4">
        <v>3.3</v>
      </c>
      <c r="J4">
        <v>59</v>
      </c>
      <c r="K4" t="s">
        <v>17</v>
      </c>
      <c r="L4" t="s">
        <v>18</v>
      </c>
      <c r="M4" t="s">
        <v>31</v>
      </c>
      <c r="N4" t="s">
        <v>32</v>
      </c>
    </row>
    <row r="5" spans="1:14" x14ac:dyDescent="0.3">
      <c r="A5">
        <v>4</v>
      </c>
      <c r="B5" t="s">
        <v>33</v>
      </c>
      <c r="C5" s="1">
        <v>45311</v>
      </c>
      <c r="D5" s="2">
        <v>0.67708333333333337</v>
      </c>
      <c r="E5" t="s">
        <v>34</v>
      </c>
      <c r="F5" t="s">
        <v>35</v>
      </c>
      <c r="G5" t="s">
        <v>30</v>
      </c>
      <c r="H5" t="s">
        <v>36</v>
      </c>
      <c r="I5">
        <v>9.4</v>
      </c>
      <c r="J5">
        <v>112</v>
      </c>
      <c r="K5" t="s">
        <v>17</v>
      </c>
      <c r="L5" t="s">
        <v>18</v>
      </c>
      <c r="M5" t="s">
        <v>19</v>
      </c>
      <c r="N5" t="s">
        <v>26</v>
      </c>
    </row>
    <row r="6" spans="1:14" x14ac:dyDescent="0.3">
      <c r="A6">
        <v>5</v>
      </c>
      <c r="B6" t="s">
        <v>37</v>
      </c>
      <c r="C6" s="1">
        <v>45300</v>
      </c>
      <c r="D6" s="2">
        <v>0.9375</v>
      </c>
      <c r="E6" t="s">
        <v>38</v>
      </c>
      <c r="F6" t="s">
        <v>39</v>
      </c>
      <c r="G6" t="s">
        <v>40</v>
      </c>
      <c r="H6" t="s">
        <v>30</v>
      </c>
      <c r="I6">
        <v>11.9</v>
      </c>
      <c r="J6">
        <v>178</v>
      </c>
      <c r="K6" t="s">
        <v>17</v>
      </c>
      <c r="L6" t="s">
        <v>18</v>
      </c>
      <c r="M6" t="s">
        <v>41</v>
      </c>
      <c r="N6" t="s">
        <v>26</v>
      </c>
    </row>
    <row r="7" spans="1:14" x14ac:dyDescent="0.3">
      <c r="A7">
        <v>6</v>
      </c>
      <c r="B7" t="s">
        <v>42</v>
      </c>
      <c r="C7" s="1">
        <v>45305</v>
      </c>
      <c r="D7" s="2">
        <v>0.84375</v>
      </c>
      <c r="E7" t="s">
        <v>43</v>
      </c>
      <c r="F7" t="s">
        <v>35</v>
      </c>
      <c r="G7" t="s">
        <v>44</v>
      </c>
      <c r="H7" t="s">
        <v>45</v>
      </c>
      <c r="I7">
        <v>3</v>
      </c>
      <c r="J7">
        <v>36</v>
      </c>
      <c r="K7" t="s">
        <v>17</v>
      </c>
      <c r="L7" t="s">
        <v>18</v>
      </c>
      <c r="M7" t="s">
        <v>19</v>
      </c>
      <c r="N7" t="s">
        <v>20</v>
      </c>
    </row>
    <row r="8" spans="1:14" x14ac:dyDescent="0.3">
      <c r="A8">
        <v>7</v>
      </c>
      <c r="B8" t="s">
        <v>46</v>
      </c>
      <c r="C8" s="1">
        <v>45297</v>
      </c>
      <c r="D8" s="2">
        <v>0.5</v>
      </c>
      <c r="E8" t="s">
        <v>47</v>
      </c>
      <c r="F8" t="s">
        <v>35</v>
      </c>
      <c r="G8" t="s">
        <v>48</v>
      </c>
      <c r="H8" t="s">
        <v>48</v>
      </c>
      <c r="I8">
        <v>7.3</v>
      </c>
      <c r="J8">
        <v>87</v>
      </c>
      <c r="K8" t="s">
        <v>17</v>
      </c>
      <c r="L8" t="s">
        <v>18</v>
      </c>
      <c r="M8" t="s">
        <v>19</v>
      </c>
      <c r="N8" t="s">
        <v>32</v>
      </c>
    </row>
    <row r="9" spans="1:14" x14ac:dyDescent="0.3">
      <c r="A9">
        <v>8</v>
      </c>
      <c r="B9" t="s">
        <v>49</v>
      </c>
      <c r="C9" s="1">
        <v>45306</v>
      </c>
      <c r="D9" s="2">
        <v>0.6875</v>
      </c>
      <c r="E9" t="s">
        <v>50</v>
      </c>
      <c r="F9" t="s">
        <v>29</v>
      </c>
      <c r="G9" t="s">
        <v>51</v>
      </c>
      <c r="H9" t="s">
        <v>16</v>
      </c>
      <c r="I9">
        <v>3.4</v>
      </c>
      <c r="J9">
        <v>61</v>
      </c>
      <c r="K9" t="s">
        <v>17</v>
      </c>
      <c r="L9" t="s">
        <v>18</v>
      </c>
      <c r="M9" t="s">
        <v>31</v>
      </c>
      <c r="N9" t="s">
        <v>32</v>
      </c>
    </row>
    <row r="10" spans="1:14" x14ac:dyDescent="0.3">
      <c r="A10">
        <v>9</v>
      </c>
      <c r="B10" t="s">
        <v>52</v>
      </c>
      <c r="C10" s="1">
        <v>45307</v>
      </c>
      <c r="D10" s="2">
        <v>0.35416666666666669</v>
      </c>
      <c r="E10" t="s">
        <v>38</v>
      </c>
      <c r="F10" t="s">
        <v>15</v>
      </c>
      <c r="G10" t="s">
        <v>51</v>
      </c>
      <c r="H10" t="s">
        <v>48</v>
      </c>
      <c r="I10">
        <v>3.4</v>
      </c>
      <c r="J10">
        <v>153</v>
      </c>
      <c r="K10" t="s">
        <v>17</v>
      </c>
      <c r="L10" t="s">
        <v>18</v>
      </c>
      <c r="M10" t="s">
        <v>53</v>
      </c>
      <c r="N10" t="s">
        <v>26</v>
      </c>
    </row>
    <row r="11" spans="1:14" x14ac:dyDescent="0.3">
      <c r="A11">
        <v>10</v>
      </c>
      <c r="B11" t="s">
        <v>54</v>
      </c>
      <c r="C11" s="1">
        <v>45298</v>
      </c>
      <c r="D11" s="2">
        <v>0.48958333333333331</v>
      </c>
      <c r="E11" t="s">
        <v>43</v>
      </c>
      <c r="F11" t="s">
        <v>55</v>
      </c>
      <c r="G11" t="s">
        <v>56</v>
      </c>
      <c r="H11" t="s">
        <v>30</v>
      </c>
      <c r="I11">
        <v>6.7</v>
      </c>
      <c r="J11">
        <v>120</v>
      </c>
      <c r="K11" t="s">
        <v>17</v>
      </c>
      <c r="L11" t="s">
        <v>18</v>
      </c>
      <c r="M11" t="s">
        <v>31</v>
      </c>
      <c r="N11" t="s">
        <v>32</v>
      </c>
    </row>
    <row r="12" spans="1:14" x14ac:dyDescent="0.3">
      <c r="A12">
        <v>11</v>
      </c>
      <c r="B12" t="s">
        <v>57</v>
      </c>
      <c r="C12" s="1">
        <v>45294</v>
      </c>
      <c r="D12" s="2">
        <v>0.69791666666666663</v>
      </c>
      <c r="E12" t="s">
        <v>58</v>
      </c>
      <c r="F12" t="s">
        <v>15</v>
      </c>
      <c r="G12" t="s">
        <v>45</v>
      </c>
      <c r="H12" t="s">
        <v>30</v>
      </c>
      <c r="I12">
        <v>3.7</v>
      </c>
      <c r="J12">
        <v>166</v>
      </c>
      <c r="K12" t="s">
        <v>17</v>
      </c>
      <c r="L12" t="s">
        <v>18</v>
      </c>
      <c r="M12" t="s">
        <v>53</v>
      </c>
      <c r="N12" t="s">
        <v>59</v>
      </c>
    </row>
    <row r="13" spans="1:14" x14ac:dyDescent="0.3">
      <c r="A13">
        <v>12</v>
      </c>
      <c r="B13" t="s">
        <v>60</v>
      </c>
      <c r="C13" s="1">
        <v>45301</v>
      </c>
      <c r="D13" s="2">
        <v>0.875</v>
      </c>
      <c r="E13" t="s">
        <v>61</v>
      </c>
      <c r="F13" t="s">
        <v>15</v>
      </c>
      <c r="G13" t="s">
        <v>36</v>
      </c>
      <c r="H13" t="s">
        <v>23</v>
      </c>
      <c r="I13">
        <v>9.1</v>
      </c>
      <c r="J13">
        <v>409</v>
      </c>
      <c r="K13" t="s">
        <v>17</v>
      </c>
      <c r="L13" t="s">
        <v>18</v>
      </c>
      <c r="M13" t="s">
        <v>53</v>
      </c>
      <c r="N13" t="s">
        <v>59</v>
      </c>
    </row>
    <row r="14" spans="1:14" x14ac:dyDescent="0.3">
      <c r="A14">
        <v>13</v>
      </c>
      <c r="B14" t="s">
        <v>62</v>
      </c>
      <c r="C14" s="1">
        <v>45298</v>
      </c>
      <c r="D14" s="2">
        <v>0.48958333333333331</v>
      </c>
      <c r="E14" t="s">
        <v>38</v>
      </c>
      <c r="F14" t="s">
        <v>29</v>
      </c>
      <c r="G14" t="s">
        <v>51</v>
      </c>
      <c r="H14" t="s">
        <v>44</v>
      </c>
      <c r="I14">
        <v>6.5</v>
      </c>
      <c r="J14">
        <v>117</v>
      </c>
      <c r="K14" t="s">
        <v>17</v>
      </c>
      <c r="L14" t="s">
        <v>18</v>
      </c>
      <c r="M14" t="s">
        <v>31</v>
      </c>
      <c r="N14" t="s">
        <v>20</v>
      </c>
    </row>
    <row r="15" spans="1:14" x14ac:dyDescent="0.3">
      <c r="A15">
        <v>14</v>
      </c>
      <c r="B15" t="s">
        <v>63</v>
      </c>
      <c r="C15" s="1">
        <v>45305</v>
      </c>
      <c r="D15" s="2">
        <v>0.33333333333333331</v>
      </c>
      <c r="E15" t="s">
        <v>64</v>
      </c>
      <c r="F15" t="s">
        <v>39</v>
      </c>
      <c r="G15" t="s">
        <v>48</v>
      </c>
      <c r="H15" t="s">
        <v>56</v>
      </c>
      <c r="I15">
        <v>2.2999999999999998</v>
      </c>
      <c r="J15">
        <v>34</v>
      </c>
      <c r="K15" t="s">
        <v>17</v>
      </c>
      <c r="L15" t="s">
        <v>18</v>
      </c>
      <c r="M15" t="s">
        <v>41</v>
      </c>
      <c r="N15" t="s">
        <v>20</v>
      </c>
    </row>
    <row r="16" spans="1:14" x14ac:dyDescent="0.3">
      <c r="A16">
        <v>15</v>
      </c>
      <c r="B16" t="s">
        <v>65</v>
      </c>
      <c r="C16" s="1">
        <v>45301</v>
      </c>
      <c r="D16" s="2">
        <v>0.61458333333333337</v>
      </c>
      <c r="E16" t="s">
        <v>66</v>
      </c>
      <c r="F16" t="s">
        <v>55</v>
      </c>
      <c r="G16" t="s">
        <v>23</v>
      </c>
      <c r="H16" t="s">
        <v>40</v>
      </c>
      <c r="I16">
        <v>4.7</v>
      </c>
      <c r="J16">
        <v>84</v>
      </c>
      <c r="K16" t="s">
        <v>17</v>
      </c>
      <c r="L16" t="s">
        <v>18</v>
      </c>
      <c r="M16" t="s">
        <v>31</v>
      </c>
      <c r="N16" t="s">
        <v>59</v>
      </c>
    </row>
    <row r="17" spans="1:14" x14ac:dyDescent="0.3">
      <c r="A17">
        <v>16</v>
      </c>
      <c r="B17" t="s">
        <v>67</v>
      </c>
      <c r="C17" s="1">
        <v>45308</v>
      </c>
      <c r="D17" s="2">
        <v>0.64583333333333337</v>
      </c>
      <c r="E17" t="s">
        <v>68</v>
      </c>
      <c r="F17" t="s">
        <v>39</v>
      </c>
      <c r="G17" t="s">
        <v>56</v>
      </c>
      <c r="H17" t="s">
        <v>51</v>
      </c>
      <c r="I17">
        <v>1.5</v>
      </c>
      <c r="J17">
        <v>22</v>
      </c>
      <c r="K17" t="s">
        <v>17</v>
      </c>
      <c r="L17" t="s">
        <v>18</v>
      </c>
      <c r="M17" t="s">
        <v>41</v>
      </c>
      <c r="N17" t="s">
        <v>26</v>
      </c>
    </row>
    <row r="18" spans="1:14" x14ac:dyDescent="0.3">
      <c r="A18">
        <v>17</v>
      </c>
      <c r="B18" t="s">
        <v>69</v>
      </c>
      <c r="C18" s="1">
        <v>45295</v>
      </c>
      <c r="D18" s="2">
        <v>0.91666666666666663</v>
      </c>
      <c r="E18" t="s">
        <v>64</v>
      </c>
      <c r="F18" t="s">
        <v>15</v>
      </c>
      <c r="G18" t="s">
        <v>16</v>
      </c>
      <c r="H18" t="s">
        <v>16</v>
      </c>
      <c r="I18">
        <v>2.7</v>
      </c>
      <c r="J18">
        <v>81</v>
      </c>
      <c r="K18" t="s">
        <v>24</v>
      </c>
      <c r="L18" t="s">
        <v>70</v>
      </c>
      <c r="M18" t="s">
        <v>19</v>
      </c>
      <c r="N18" t="s">
        <v>20</v>
      </c>
    </row>
    <row r="19" spans="1:14" x14ac:dyDescent="0.3">
      <c r="A19">
        <v>18</v>
      </c>
      <c r="B19" t="s">
        <v>71</v>
      </c>
      <c r="C19" s="1">
        <v>45302</v>
      </c>
      <c r="D19" s="2">
        <v>0.42708333333333331</v>
      </c>
      <c r="E19" t="s">
        <v>72</v>
      </c>
      <c r="F19" t="s">
        <v>35</v>
      </c>
      <c r="G19" t="s">
        <v>56</v>
      </c>
      <c r="H19" t="s">
        <v>56</v>
      </c>
      <c r="I19">
        <v>4.9000000000000004</v>
      </c>
      <c r="J19">
        <v>58</v>
      </c>
      <c r="K19" t="s">
        <v>17</v>
      </c>
      <c r="L19" t="s">
        <v>18</v>
      </c>
      <c r="M19" t="s">
        <v>19</v>
      </c>
      <c r="N19" t="s">
        <v>20</v>
      </c>
    </row>
    <row r="20" spans="1:14" x14ac:dyDescent="0.3">
      <c r="A20">
        <v>19</v>
      </c>
      <c r="B20" t="s">
        <v>73</v>
      </c>
      <c r="C20" s="1">
        <v>45298</v>
      </c>
      <c r="D20" s="2">
        <v>0.78125</v>
      </c>
      <c r="E20" t="s">
        <v>74</v>
      </c>
      <c r="F20" t="s">
        <v>39</v>
      </c>
      <c r="G20" t="s">
        <v>45</v>
      </c>
      <c r="H20" t="s">
        <v>23</v>
      </c>
      <c r="I20">
        <v>7.1</v>
      </c>
      <c r="J20">
        <v>106</v>
      </c>
      <c r="K20" t="s">
        <v>17</v>
      </c>
      <c r="L20" t="s">
        <v>18</v>
      </c>
      <c r="M20" t="s">
        <v>41</v>
      </c>
      <c r="N20" t="s">
        <v>26</v>
      </c>
    </row>
    <row r="21" spans="1:14" x14ac:dyDescent="0.3">
      <c r="A21">
        <v>20</v>
      </c>
      <c r="B21" t="s">
        <v>75</v>
      </c>
      <c r="C21" s="1">
        <v>45299</v>
      </c>
      <c r="D21" s="2">
        <v>0.5</v>
      </c>
      <c r="E21" t="s">
        <v>66</v>
      </c>
      <c r="F21" t="s">
        <v>29</v>
      </c>
      <c r="G21" t="s">
        <v>36</v>
      </c>
      <c r="H21" t="s">
        <v>44</v>
      </c>
      <c r="I21">
        <v>2.6</v>
      </c>
      <c r="J21">
        <v>46</v>
      </c>
      <c r="K21" t="s">
        <v>17</v>
      </c>
      <c r="L21" t="s">
        <v>18</v>
      </c>
      <c r="M21" t="s">
        <v>31</v>
      </c>
      <c r="N21" t="s">
        <v>20</v>
      </c>
    </row>
    <row r="22" spans="1:14" x14ac:dyDescent="0.3">
      <c r="A22">
        <v>21</v>
      </c>
      <c r="B22" t="s">
        <v>76</v>
      </c>
      <c r="C22" s="1">
        <v>45295</v>
      </c>
      <c r="D22" s="2">
        <v>0.30208333333333331</v>
      </c>
      <c r="E22" t="s">
        <v>77</v>
      </c>
      <c r="F22" t="s">
        <v>55</v>
      </c>
      <c r="G22" t="s">
        <v>36</v>
      </c>
      <c r="H22" t="s">
        <v>48</v>
      </c>
      <c r="I22">
        <v>11.8</v>
      </c>
      <c r="J22">
        <v>212</v>
      </c>
      <c r="K22" t="s">
        <v>24</v>
      </c>
      <c r="L22" t="s">
        <v>78</v>
      </c>
      <c r="M22" t="s">
        <v>31</v>
      </c>
      <c r="N22" t="s">
        <v>32</v>
      </c>
    </row>
    <row r="23" spans="1:14" x14ac:dyDescent="0.3">
      <c r="A23">
        <v>22</v>
      </c>
      <c r="B23" t="s">
        <v>79</v>
      </c>
      <c r="C23" s="1">
        <v>45306</v>
      </c>
      <c r="D23" s="2">
        <v>0.61458333333333337</v>
      </c>
      <c r="E23" t="s">
        <v>72</v>
      </c>
      <c r="F23" t="s">
        <v>15</v>
      </c>
      <c r="G23" t="s">
        <v>48</v>
      </c>
      <c r="H23" t="s">
        <v>56</v>
      </c>
      <c r="I23">
        <v>5.7</v>
      </c>
      <c r="J23">
        <v>256</v>
      </c>
      <c r="K23" t="s">
        <v>17</v>
      </c>
      <c r="L23" t="s">
        <v>18</v>
      </c>
      <c r="M23" t="s">
        <v>53</v>
      </c>
      <c r="N23" t="s">
        <v>26</v>
      </c>
    </row>
    <row r="24" spans="1:14" x14ac:dyDescent="0.3">
      <c r="A24">
        <v>23</v>
      </c>
      <c r="B24" t="s">
        <v>80</v>
      </c>
      <c r="C24" s="1">
        <v>45299</v>
      </c>
      <c r="D24" s="2">
        <v>0.46875</v>
      </c>
      <c r="E24" t="s">
        <v>34</v>
      </c>
      <c r="F24" t="s">
        <v>55</v>
      </c>
      <c r="G24" t="s">
        <v>36</v>
      </c>
      <c r="H24" t="s">
        <v>23</v>
      </c>
      <c r="I24">
        <v>4.3</v>
      </c>
      <c r="J24">
        <v>77</v>
      </c>
      <c r="K24" t="s">
        <v>17</v>
      </c>
      <c r="L24" t="s">
        <v>18</v>
      </c>
      <c r="M24" t="s">
        <v>31</v>
      </c>
      <c r="N24" t="s">
        <v>32</v>
      </c>
    </row>
    <row r="25" spans="1:14" x14ac:dyDescent="0.3">
      <c r="A25">
        <v>24</v>
      </c>
      <c r="B25" t="s">
        <v>81</v>
      </c>
      <c r="C25" s="1">
        <v>45305</v>
      </c>
      <c r="D25" s="2">
        <v>0.90625</v>
      </c>
      <c r="E25" t="s">
        <v>43</v>
      </c>
      <c r="F25" t="s">
        <v>55</v>
      </c>
      <c r="G25" t="s">
        <v>36</v>
      </c>
      <c r="H25" t="s">
        <v>56</v>
      </c>
      <c r="I25">
        <v>11.4</v>
      </c>
      <c r="J25">
        <v>205</v>
      </c>
      <c r="K25" t="s">
        <v>17</v>
      </c>
      <c r="L25" t="s">
        <v>18</v>
      </c>
      <c r="M25" t="s">
        <v>31</v>
      </c>
      <c r="N25" t="s">
        <v>32</v>
      </c>
    </row>
    <row r="26" spans="1:14" x14ac:dyDescent="0.3">
      <c r="A26">
        <v>25</v>
      </c>
      <c r="B26" t="s">
        <v>82</v>
      </c>
      <c r="C26" s="1">
        <v>45306</v>
      </c>
      <c r="D26" s="2">
        <v>0.60416666666666663</v>
      </c>
      <c r="E26" t="s">
        <v>83</v>
      </c>
      <c r="F26" t="s">
        <v>29</v>
      </c>
      <c r="G26" t="s">
        <v>30</v>
      </c>
      <c r="H26" t="s">
        <v>48</v>
      </c>
      <c r="I26">
        <v>2.2999999999999998</v>
      </c>
      <c r="J26">
        <v>41</v>
      </c>
      <c r="K26" t="s">
        <v>17</v>
      </c>
      <c r="L26" t="s">
        <v>18</v>
      </c>
      <c r="M26" t="s">
        <v>31</v>
      </c>
      <c r="N26" t="s">
        <v>20</v>
      </c>
    </row>
    <row r="27" spans="1:14" x14ac:dyDescent="0.3">
      <c r="A27">
        <v>26</v>
      </c>
      <c r="B27" t="s">
        <v>84</v>
      </c>
      <c r="C27" s="1">
        <v>45307</v>
      </c>
      <c r="D27" s="2">
        <v>0.86458333333333337</v>
      </c>
      <c r="E27" t="s">
        <v>85</v>
      </c>
      <c r="F27" t="s">
        <v>39</v>
      </c>
      <c r="G27" t="s">
        <v>23</v>
      </c>
      <c r="H27" t="s">
        <v>30</v>
      </c>
      <c r="I27">
        <v>5.6</v>
      </c>
      <c r="J27">
        <v>84</v>
      </c>
      <c r="K27" t="s">
        <v>17</v>
      </c>
      <c r="L27" t="s">
        <v>18</v>
      </c>
      <c r="M27" t="s">
        <v>41</v>
      </c>
      <c r="N27" t="s">
        <v>59</v>
      </c>
    </row>
    <row r="28" spans="1:14" x14ac:dyDescent="0.3">
      <c r="A28">
        <v>27</v>
      </c>
      <c r="B28" t="s">
        <v>86</v>
      </c>
      <c r="C28" s="1">
        <v>45297</v>
      </c>
      <c r="D28" s="2">
        <v>0.84375</v>
      </c>
      <c r="E28" t="s">
        <v>87</v>
      </c>
      <c r="F28" t="s">
        <v>39</v>
      </c>
      <c r="G28" t="s">
        <v>23</v>
      </c>
      <c r="H28" t="s">
        <v>51</v>
      </c>
      <c r="I28">
        <v>8.1999999999999993</v>
      </c>
      <c r="J28">
        <v>122</v>
      </c>
      <c r="K28" t="s">
        <v>24</v>
      </c>
      <c r="L28" t="s">
        <v>88</v>
      </c>
      <c r="M28" t="s">
        <v>41</v>
      </c>
      <c r="N28" t="s">
        <v>32</v>
      </c>
    </row>
    <row r="29" spans="1:14" x14ac:dyDescent="0.3">
      <c r="A29">
        <v>28</v>
      </c>
      <c r="B29" t="s">
        <v>89</v>
      </c>
      <c r="C29" s="1">
        <v>45310</v>
      </c>
      <c r="D29" s="2">
        <v>0.84375</v>
      </c>
      <c r="E29" t="s">
        <v>90</v>
      </c>
      <c r="F29" t="s">
        <v>39</v>
      </c>
      <c r="G29" t="s">
        <v>30</v>
      </c>
      <c r="H29" t="s">
        <v>51</v>
      </c>
      <c r="I29">
        <v>1.6</v>
      </c>
      <c r="J29">
        <v>24</v>
      </c>
      <c r="K29" t="s">
        <v>17</v>
      </c>
      <c r="L29" t="s">
        <v>18</v>
      </c>
      <c r="M29" t="s">
        <v>41</v>
      </c>
      <c r="N29" t="s">
        <v>26</v>
      </c>
    </row>
    <row r="30" spans="1:14" x14ac:dyDescent="0.3">
      <c r="A30">
        <v>29</v>
      </c>
      <c r="B30" t="s">
        <v>91</v>
      </c>
      <c r="C30" s="1">
        <v>45292</v>
      </c>
      <c r="D30" s="2">
        <v>0.57291666666666663</v>
      </c>
      <c r="E30" t="s">
        <v>92</v>
      </c>
      <c r="F30" t="s">
        <v>15</v>
      </c>
      <c r="G30" t="s">
        <v>51</v>
      </c>
      <c r="H30" t="s">
        <v>23</v>
      </c>
      <c r="I30">
        <v>8.8000000000000007</v>
      </c>
      <c r="J30">
        <v>264</v>
      </c>
      <c r="K30" t="s">
        <v>17</v>
      </c>
      <c r="L30" t="s">
        <v>18</v>
      </c>
      <c r="M30" t="s">
        <v>19</v>
      </c>
      <c r="N30" t="s">
        <v>20</v>
      </c>
    </row>
    <row r="31" spans="1:14" x14ac:dyDescent="0.3">
      <c r="A31">
        <v>30</v>
      </c>
      <c r="B31" t="s">
        <v>93</v>
      </c>
      <c r="C31" s="1">
        <v>45299</v>
      </c>
      <c r="D31" s="2">
        <v>0.41666666666666669</v>
      </c>
      <c r="E31" t="s">
        <v>94</v>
      </c>
      <c r="F31" t="s">
        <v>55</v>
      </c>
      <c r="G31" t="s">
        <v>56</v>
      </c>
      <c r="H31" t="s">
        <v>51</v>
      </c>
      <c r="I31">
        <v>2.1</v>
      </c>
      <c r="J31">
        <v>37</v>
      </c>
      <c r="K31" t="s">
        <v>17</v>
      </c>
      <c r="L31" t="s">
        <v>18</v>
      </c>
      <c r="M31" t="s">
        <v>31</v>
      </c>
      <c r="N31" t="s">
        <v>32</v>
      </c>
    </row>
    <row r="32" spans="1:14" x14ac:dyDescent="0.3">
      <c r="A32">
        <v>31</v>
      </c>
      <c r="B32" t="s">
        <v>95</v>
      </c>
      <c r="C32" s="1">
        <v>45310</v>
      </c>
      <c r="D32" s="2">
        <v>0.38541666666666669</v>
      </c>
      <c r="E32" t="s">
        <v>87</v>
      </c>
      <c r="F32" t="s">
        <v>29</v>
      </c>
      <c r="G32" t="s">
        <v>51</v>
      </c>
      <c r="H32" t="s">
        <v>56</v>
      </c>
      <c r="I32">
        <v>9.5</v>
      </c>
      <c r="J32">
        <v>171</v>
      </c>
      <c r="K32" t="s">
        <v>17</v>
      </c>
      <c r="L32" t="s">
        <v>18</v>
      </c>
      <c r="M32" t="s">
        <v>31</v>
      </c>
      <c r="N32" t="s">
        <v>32</v>
      </c>
    </row>
    <row r="33" spans="1:14" x14ac:dyDescent="0.3">
      <c r="A33">
        <v>32</v>
      </c>
      <c r="B33" t="s">
        <v>96</v>
      </c>
      <c r="C33" s="1">
        <v>45299</v>
      </c>
      <c r="D33" s="2">
        <v>0.51041666666666663</v>
      </c>
      <c r="E33" t="s">
        <v>97</v>
      </c>
      <c r="F33" t="s">
        <v>29</v>
      </c>
      <c r="G33" t="s">
        <v>40</v>
      </c>
      <c r="H33" t="s">
        <v>30</v>
      </c>
      <c r="I33">
        <v>2.4</v>
      </c>
      <c r="J33">
        <v>43</v>
      </c>
      <c r="K33" t="s">
        <v>17</v>
      </c>
      <c r="L33" t="s">
        <v>18</v>
      </c>
      <c r="M33" t="s">
        <v>31</v>
      </c>
      <c r="N33" t="s">
        <v>59</v>
      </c>
    </row>
    <row r="34" spans="1:14" x14ac:dyDescent="0.3">
      <c r="A34">
        <v>33</v>
      </c>
      <c r="B34" t="s">
        <v>98</v>
      </c>
      <c r="C34" s="1">
        <v>45301</v>
      </c>
      <c r="D34" s="2">
        <v>0.75</v>
      </c>
      <c r="E34" t="s">
        <v>99</v>
      </c>
      <c r="F34" t="s">
        <v>35</v>
      </c>
      <c r="G34" t="s">
        <v>44</v>
      </c>
      <c r="H34" t="s">
        <v>45</v>
      </c>
      <c r="I34">
        <v>8.8000000000000007</v>
      </c>
      <c r="J34">
        <v>105</v>
      </c>
      <c r="K34" t="s">
        <v>17</v>
      </c>
      <c r="L34" t="s">
        <v>18</v>
      </c>
      <c r="M34" t="s">
        <v>19</v>
      </c>
      <c r="N34" t="s">
        <v>59</v>
      </c>
    </row>
    <row r="35" spans="1:14" x14ac:dyDescent="0.3">
      <c r="A35">
        <v>34</v>
      </c>
      <c r="B35" t="s">
        <v>100</v>
      </c>
      <c r="C35" s="1">
        <v>45307</v>
      </c>
      <c r="D35" s="2">
        <v>0.58333333333333337</v>
      </c>
      <c r="E35" t="s">
        <v>38</v>
      </c>
      <c r="F35" t="s">
        <v>29</v>
      </c>
      <c r="G35" t="s">
        <v>56</v>
      </c>
      <c r="H35" t="s">
        <v>48</v>
      </c>
      <c r="I35">
        <v>6.1</v>
      </c>
      <c r="J35">
        <v>109</v>
      </c>
      <c r="K35" t="s">
        <v>17</v>
      </c>
      <c r="L35" t="s">
        <v>18</v>
      </c>
      <c r="M35" t="s">
        <v>31</v>
      </c>
      <c r="N35" t="s">
        <v>59</v>
      </c>
    </row>
    <row r="36" spans="1:14" x14ac:dyDescent="0.3">
      <c r="A36">
        <v>35</v>
      </c>
      <c r="B36" t="s">
        <v>101</v>
      </c>
      <c r="C36" s="1">
        <v>45300</v>
      </c>
      <c r="D36" s="2">
        <v>0.8125</v>
      </c>
      <c r="E36" t="s">
        <v>66</v>
      </c>
      <c r="F36" t="s">
        <v>39</v>
      </c>
      <c r="G36" t="s">
        <v>56</v>
      </c>
      <c r="H36" t="s">
        <v>36</v>
      </c>
      <c r="I36">
        <v>10.4</v>
      </c>
      <c r="J36">
        <v>156</v>
      </c>
      <c r="K36" t="s">
        <v>17</v>
      </c>
      <c r="L36" t="s">
        <v>18</v>
      </c>
      <c r="M36" t="s">
        <v>41</v>
      </c>
      <c r="N36" t="s">
        <v>59</v>
      </c>
    </row>
    <row r="37" spans="1:14" x14ac:dyDescent="0.3">
      <c r="A37">
        <v>36</v>
      </c>
      <c r="B37" t="s">
        <v>102</v>
      </c>
      <c r="C37" s="1">
        <v>45310</v>
      </c>
      <c r="D37" s="2">
        <v>0.67708333333333337</v>
      </c>
      <c r="E37" t="s">
        <v>47</v>
      </c>
      <c r="F37" t="s">
        <v>55</v>
      </c>
      <c r="G37" t="s">
        <v>40</v>
      </c>
      <c r="H37" t="s">
        <v>36</v>
      </c>
      <c r="I37">
        <v>2.2000000000000002</v>
      </c>
      <c r="J37">
        <v>39</v>
      </c>
      <c r="K37" t="s">
        <v>17</v>
      </c>
      <c r="L37" t="s">
        <v>18</v>
      </c>
      <c r="M37" t="s">
        <v>31</v>
      </c>
      <c r="N37" t="s">
        <v>20</v>
      </c>
    </row>
    <row r="38" spans="1:14" x14ac:dyDescent="0.3">
      <c r="A38">
        <v>37</v>
      </c>
      <c r="B38" t="s">
        <v>103</v>
      </c>
      <c r="C38" s="1">
        <v>45307</v>
      </c>
      <c r="D38" s="2">
        <v>0.61458333333333337</v>
      </c>
      <c r="E38" t="s">
        <v>104</v>
      </c>
      <c r="F38" t="s">
        <v>29</v>
      </c>
      <c r="G38" t="s">
        <v>30</v>
      </c>
      <c r="H38" t="s">
        <v>40</v>
      </c>
      <c r="I38">
        <v>7.9</v>
      </c>
      <c r="J38">
        <v>142</v>
      </c>
      <c r="K38" t="s">
        <v>17</v>
      </c>
      <c r="L38" t="s">
        <v>18</v>
      </c>
      <c r="M38" t="s">
        <v>31</v>
      </c>
      <c r="N38" t="s">
        <v>26</v>
      </c>
    </row>
    <row r="39" spans="1:14" x14ac:dyDescent="0.3">
      <c r="A39">
        <v>38</v>
      </c>
      <c r="B39" t="s">
        <v>105</v>
      </c>
      <c r="C39" s="1">
        <v>45301</v>
      </c>
      <c r="D39" s="2">
        <v>0.59375</v>
      </c>
      <c r="E39" t="s">
        <v>106</v>
      </c>
      <c r="F39" t="s">
        <v>15</v>
      </c>
      <c r="G39" t="s">
        <v>16</v>
      </c>
      <c r="H39" t="s">
        <v>16</v>
      </c>
      <c r="I39">
        <v>11.5</v>
      </c>
      <c r="J39">
        <v>517</v>
      </c>
      <c r="K39" t="s">
        <v>24</v>
      </c>
      <c r="L39" t="s">
        <v>70</v>
      </c>
      <c r="M39" t="s">
        <v>53</v>
      </c>
      <c r="N39" t="s">
        <v>26</v>
      </c>
    </row>
    <row r="40" spans="1:14" x14ac:dyDescent="0.3">
      <c r="A40">
        <v>39</v>
      </c>
      <c r="B40" t="s">
        <v>107</v>
      </c>
      <c r="C40" s="1">
        <v>45304</v>
      </c>
      <c r="D40" s="2">
        <v>0.32291666666666669</v>
      </c>
      <c r="E40" t="s">
        <v>43</v>
      </c>
      <c r="F40" t="s">
        <v>15</v>
      </c>
      <c r="G40" t="s">
        <v>23</v>
      </c>
      <c r="H40" t="s">
        <v>56</v>
      </c>
      <c r="I40">
        <v>7.2</v>
      </c>
      <c r="J40">
        <v>216</v>
      </c>
      <c r="K40" t="s">
        <v>17</v>
      </c>
      <c r="L40" t="s">
        <v>18</v>
      </c>
      <c r="M40" t="s">
        <v>19</v>
      </c>
      <c r="N40" t="s">
        <v>26</v>
      </c>
    </row>
    <row r="41" spans="1:14" x14ac:dyDescent="0.3">
      <c r="A41">
        <v>40</v>
      </c>
      <c r="B41" t="s">
        <v>108</v>
      </c>
      <c r="C41" s="1">
        <v>45298</v>
      </c>
      <c r="D41" s="2">
        <v>0.40625</v>
      </c>
      <c r="E41" t="s">
        <v>109</v>
      </c>
      <c r="F41" t="s">
        <v>29</v>
      </c>
      <c r="G41" t="s">
        <v>56</v>
      </c>
      <c r="H41" t="s">
        <v>48</v>
      </c>
      <c r="I41">
        <v>2</v>
      </c>
      <c r="J41">
        <v>36</v>
      </c>
      <c r="K41" t="s">
        <v>17</v>
      </c>
      <c r="L41" t="s">
        <v>18</v>
      </c>
      <c r="M41" t="s">
        <v>31</v>
      </c>
      <c r="N41" t="s">
        <v>32</v>
      </c>
    </row>
    <row r="42" spans="1:14" x14ac:dyDescent="0.3">
      <c r="A42">
        <v>41</v>
      </c>
      <c r="B42" t="s">
        <v>110</v>
      </c>
      <c r="C42" s="1">
        <v>45307</v>
      </c>
      <c r="D42" s="2">
        <v>0.44791666666666669</v>
      </c>
      <c r="E42" t="s">
        <v>111</v>
      </c>
      <c r="F42" t="s">
        <v>35</v>
      </c>
      <c r="G42" t="s">
        <v>40</v>
      </c>
      <c r="H42" t="s">
        <v>56</v>
      </c>
      <c r="I42">
        <v>3.3</v>
      </c>
      <c r="J42">
        <v>39</v>
      </c>
      <c r="K42" t="s">
        <v>24</v>
      </c>
      <c r="L42" t="s">
        <v>25</v>
      </c>
      <c r="M42" t="s">
        <v>19</v>
      </c>
      <c r="N42" t="s">
        <v>26</v>
      </c>
    </row>
    <row r="43" spans="1:14" x14ac:dyDescent="0.3">
      <c r="A43">
        <v>42</v>
      </c>
      <c r="B43" t="s">
        <v>112</v>
      </c>
      <c r="C43" s="1">
        <v>45293</v>
      </c>
      <c r="D43" s="2">
        <v>0.71875</v>
      </c>
      <c r="E43" t="s">
        <v>113</v>
      </c>
      <c r="F43" t="s">
        <v>15</v>
      </c>
      <c r="G43" t="s">
        <v>48</v>
      </c>
      <c r="H43" t="s">
        <v>45</v>
      </c>
      <c r="I43">
        <v>2.2000000000000002</v>
      </c>
      <c r="J43">
        <v>66</v>
      </c>
      <c r="K43" t="s">
        <v>17</v>
      </c>
      <c r="L43" t="s">
        <v>18</v>
      </c>
      <c r="M43" t="s">
        <v>19</v>
      </c>
      <c r="N43" t="s">
        <v>26</v>
      </c>
    </row>
    <row r="44" spans="1:14" x14ac:dyDescent="0.3">
      <c r="A44">
        <v>43</v>
      </c>
      <c r="B44" t="s">
        <v>114</v>
      </c>
      <c r="C44" s="1">
        <v>45292</v>
      </c>
      <c r="D44" s="2">
        <v>0.4375</v>
      </c>
      <c r="E44" t="s">
        <v>34</v>
      </c>
      <c r="F44" t="s">
        <v>35</v>
      </c>
      <c r="G44" t="s">
        <v>16</v>
      </c>
      <c r="H44" t="s">
        <v>23</v>
      </c>
      <c r="I44">
        <v>9.1</v>
      </c>
      <c r="J44">
        <v>109</v>
      </c>
      <c r="K44" t="s">
        <v>17</v>
      </c>
      <c r="L44" t="s">
        <v>18</v>
      </c>
      <c r="M44" t="s">
        <v>19</v>
      </c>
      <c r="N44" t="s">
        <v>26</v>
      </c>
    </row>
    <row r="45" spans="1:14" x14ac:dyDescent="0.3">
      <c r="A45">
        <v>44</v>
      </c>
      <c r="B45" t="s">
        <v>115</v>
      </c>
      <c r="C45" s="1">
        <v>45302</v>
      </c>
      <c r="D45" s="2">
        <v>0.625</v>
      </c>
      <c r="E45" t="s">
        <v>47</v>
      </c>
      <c r="F45" t="s">
        <v>39</v>
      </c>
      <c r="G45" t="s">
        <v>40</v>
      </c>
      <c r="H45" t="s">
        <v>16</v>
      </c>
      <c r="I45">
        <v>8</v>
      </c>
      <c r="J45">
        <v>120</v>
      </c>
      <c r="K45" t="s">
        <v>17</v>
      </c>
      <c r="L45" t="s">
        <v>18</v>
      </c>
      <c r="M45" t="s">
        <v>41</v>
      </c>
      <c r="N45" t="s">
        <v>26</v>
      </c>
    </row>
    <row r="46" spans="1:14" x14ac:dyDescent="0.3">
      <c r="A46">
        <v>45</v>
      </c>
      <c r="B46" t="s">
        <v>116</v>
      </c>
      <c r="C46" s="1">
        <v>45301</v>
      </c>
      <c r="D46" s="2">
        <v>0.75</v>
      </c>
      <c r="E46" t="s">
        <v>117</v>
      </c>
      <c r="F46" t="s">
        <v>35</v>
      </c>
      <c r="G46" t="s">
        <v>40</v>
      </c>
      <c r="H46" t="s">
        <v>30</v>
      </c>
      <c r="I46">
        <v>4.8</v>
      </c>
      <c r="J46">
        <v>57</v>
      </c>
      <c r="K46" t="s">
        <v>17</v>
      </c>
      <c r="L46" t="s">
        <v>18</v>
      </c>
      <c r="M46" t="s">
        <v>19</v>
      </c>
      <c r="N46" t="s">
        <v>32</v>
      </c>
    </row>
    <row r="47" spans="1:14" x14ac:dyDescent="0.3">
      <c r="A47">
        <v>46</v>
      </c>
      <c r="B47" t="s">
        <v>118</v>
      </c>
      <c r="C47" s="1">
        <v>45305</v>
      </c>
      <c r="D47" s="2">
        <v>0.48958333333333331</v>
      </c>
      <c r="E47" t="s">
        <v>119</v>
      </c>
      <c r="F47" t="s">
        <v>55</v>
      </c>
      <c r="G47" t="s">
        <v>56</v>
      </c>
      <c r="H47" t="s">
        <v>40</v>
      </c>
      <c r="I47">
        <v>4.7</v>
      </c>
      <c r="J47">
        <v>84</v>
      </c>
      <c r="K47" t="s">
        <v>17</v>
      </c>
      <c r="L47" t="s">
        <v>18</v>
      </c>
      <c r="M47" t="s">
        <v>31</v>
      </c>
      <c r="N47" t="s">
        <v>20</v>
      </c>
    </row>
    <row r="48" spans="1:14" x14ac:dyDescent="0.3">
      <c r="A48">
        <v>47</v>
      </c>
      <c r="B48" t="s">
        <v>120</v>
      </c>
      <c r="C48" s="1">
        <v>45304</v>
      </c>
      <c r="D48" s="2">
        <v>0.875</v>
      </c>
      <c r="E48" t="s">
        <v>121</v>
      </c>
      <c r="F48" t="s">
        <v>15</v>
      </c>
      <c r="G48" t="s">
        <v>48</v>
      </c>
      <c r="H48" t="s">
        <v>56</v>
      </c>
      <c r="I48">
        <v>1.5</v>
      </c>
      <c r="J48">
        <v>67</v>
      </c>
      <c r="K48" t="s">
        <v>17</v>
      </c>
      <c r="L48" t="s">
        <v>18</v>
      </c>
      <c r="M48" t="s">
        <v>53</v>
      </c>
      <c r="N48" t="s">
        <v>59</v>
      </c>
    </row>
    <row r="49" spans="1:14" x14ac:dyDescent="0.3">
      <c r="A49">
        <v>48</v>
      </c>
      <c r="B49" t="s">
        <v>122</v>
      </c>
      <c r="C49" s="1">
        <v>45293</v>
      </c>
      <c r="D49" s="2">
        <v>0.29166666666666669</v>
      </c>
      <c r="E49" t="s">
        <v>85</v>
      </c>
      <c r="F49" t="s">
        <v>29</v>
      </c>
      <c r="G49" t="s">
        <v>16</v>
      </c>
      <c r="H49" t="s">
        <v>44</v>
      </c>
      <c r="I49">
        <v>6.1</v>
      </c>
      <c r="J49">
        <v>109</v>
      </c>
      <c r="K49" t="s">
        <v>17</v>
      </c>
      <c r="L49" t="s">
        <v>18</v>
      </c>
      <c r="M49" t="s">
        <v>31</v>
      </c>
      <c r="N49" t="s">
        <v>59</v>
      </c>
    </row>
    <row r="50" spans="1:14" x14ac:dyDescent="0.3">
      <c r="A50">
        <v>49</v>
      </c>
      <c r="B50" t="s">
        <v>123</v>
      </c>
      <c r="C50" s="1">
        <v>45296</v>
      </c>
      <c r="D50" s="2">
        <v>0.875</v>
      </c>
      <c r="E50" t="s">
        <v>104</v>
      </c>
      <c r="F50" t="s">
        <v>55</v>
      </c>
      <c r="G50" t="s">
        <v>36</v>
      </c>
      <c r="H50" t="s">
        <v>56</v>
      </c>
      <c r="I50">
        <v>5.5</v>
      </c>
      <c r="J50">
        <v>99</v>
      </c>
      <c r="K50" t="s">
        <v>17</v>
      </c>
      <c r="L50" t="s">
        <v>18</v>
      </c>
      <c r="M50" t="s">
        <v>31</v>
      </c>
      <c r="N50" t="s">
        <v>20</v>
      </c>
    </row>
    <row r="51" spans="1:14" x14ac:dyDescent="0.3">
      <c r="A51">
        <v>50</v>
      </c>
      <c r="B51" t="s">
        <v>124</v>
      </c>
      <c r="C51" s="1">
        <v>45294</v>
      </c>
      <c r="D51" s="2">
        <v>0.40625</v>
      </c>
      <c r="E51" t="s">
        <v>106</v>
      </c>
      <c r="F51" t="s">
        <v>35</v>
      </c>
      <c r="G51" t="s">
        <v>23</v>
      </c>
      <c r="H51" t="s">
        <v>30</v>
      </c>
      <c r="I51">
        <v>3.2</v>
      </c>
      <c r="J51">
        <v>38</v>
      </c>
      <c r="K51" t="s">
        <v>17</v>
      </c>
      <c r="L51" t="s">
        <v>18</v>
      </c>
      <c r="M51" t="s">
        <v>19</v>
      </c>
      <c r="N51" t="s">
        <v>20</v>
      </c>
    </row>
    <row r="52" spans="1:14" x14ac:dyDescent="0.3">
      <c r="A52">
        <v>51</v>
      </c>
      <c r="B52" t="s">
        <v>125</v>
      </c>
      <c r="C52" s="1">
        <v>45299</v>
      </c>
      <c r="D52" s="2">
        <v>0.40625</v>
      </c>
      <c r="E52" t="s">
        <v>38</v>
      </c>
      <c r="F52" t="s">
        <v>15</v>
      </c>
      <c r="G52" t="s">
        <v>48</v>
      </c>
      <c r="H52" t="s">
        <v>44</v>
      </c>
      <c r="I52">
        <v>11.6</v>
      </c>
      <c r="J52">
        <v>522</v>
      </c>
      <c r="K52" t="s">
        <v>17</v>
      </c>
      <c r="L52" t="s">
        <v>18</v>
      </c>
      <c r="M52" t="s">
        <v>53</v>
      </c>
      <c r="N52" t="s">
        <v>26</v>
      </c>
    </row>
    <row r="53" spans="1:14" x14ac:dyDescent="0.3">
      <c r="A53">
        <v>52</v>
      </c>
      <c r="B53" t="s">
        <v>126</v>
      </c>
      <c r="C53" s="1">
        <v>45302</v>
      </c>
      <c r="D53" s="2">
        <v>0.79166666666666663</v>
      </c>
      <c r="E53" t="s">
        <v>111</v>
      </c>
      <c r="F53" t="s">
        <v>29</v>
      </c>
      <c r="G53" t="s">
        <v>48</v>
      </c>
      <c r="H53" t="s">
        <v>51</v>
      </c>
      <c r="I53">
        <v>9.4</v>
      </c>
      <c r="J53">
        <v>169</v>
      </c>
      <c r="K53" t="s">
        <v>17</v>
      </c>
      <c r="L53" t="s">
        <v>18</v>
      </c>
      <c r="M53" t="s">
        <v>31</v>
      </c>
      <c r="N53" t="s">
        <v>32</v>
      </c>
    </row>
    <row r="54" spans="1:14" x14ac:dyDescent="0.3">
      <c r="A54">
        <v>53</v>
      </c>
      <c r="B54" t="s">
        <v>127</v>
      </c>
      <c r="C54" s="1">
        <v>45296</v>
      </c>
      <c r="D54" s="2">
        <v>0.46875</v>
      </c>
      <c r="E54" t="s">
        <v>106</v>
      </c>
      <c r="F54" t="s">
        <v>35</v>
      </c>
      <c r="G54" t="s">
        <v>48</v>
      </c>
      <c r="H54" t="s">
        <v>16</v>
      </c>
      <c r="I54">
        <v>6.4</v>
      </c>
      <c r="J54">
        <v>76</v>
      </c>
      <c r="K54" t="s">
        <v>17</v>
      </c>
      <c r="L54" t="s">
        <v>18</v>
      </c>
      <c r="M54" t="s">
        <v>19</v>
      </c>
      <c r="N54" t="s">
        <v>26</v>
      </c>
    </row>
    <row r="55" spans="1:14" x14ac:dyDescent="0.3">
      <c r="A55">
        <v>54</v>
      </c>
      <c r="B55" t="s">
        <v>128</v>
      </c>
      <c r="C55" s="1">
        <v>45299</v>
      </c>
      <c r="D55" s="2">
        <v>0.53125</v>
      </c>
      <c r="E55" t="s">
        <v>117</v>
      </c>
      <c r="F55" t="s">
        <v>15</v>
      </c>
      <c r="G55" t="s">
        <v>45</v>
      </c>
      <c r="H55" t="s">
        <v>44</v>
      </c>
      <c r="I55">
        <v>10.9</v>
      </c>
      <c r="J55">
        <v>327</v>
      </c>
      <c r="K55" t="s">
        <v>24</v>
      </c>
      <c r="L55" t="s">
        <v>88</v>
      </c>
      <c r="M55" t="s">
        <v>19</v>
      </c>
      <c r="N55" t="s">
        <v>32</v>
      </c>
    </row>
    <row r="56" spans="1:14" x14ac:dyDescent="0.3">
      <c r="A56">
        <v>55</v>
      </c>
      <c r="B56" t="s">
        <v>129</v>
      </c>
      <c r="C56" s="1">
        <v>45293</v>
      </c>
      <c r="D56" s="2">
        <v>0.5625</v>
      </c>
      <c r="E56" t="s">
        <v>85</v>
      </c>
      <c r="F56" t="s">
        <v>29</v>
      </c>
      <c r="G56" t="s">
        <v>44</v>
      </c>
      <c r="H56" t="s">
        <v>23</v>
      </c>
      <c r="I56">
        <v>4.5</v>
      </c>
      <c r="J56">
        <v>81</v>
      </c>
      <c r="K56" t="s">
        <v>17</v>
      </c>
      <c r="L56" t="s">
        <v>18</v>
      </c>
      <c r="M56" t="s">
        <v>31</v>
      </c>
      <c r="N56" t="s">
        <v>32</v>
      </c>
    </row>
    <row r="57" spans="1:14" x14ac:dyDescent="0.3">
      <c r="A57">
        <v>56</v>
      </c>
      <c r="B57" t="s">
        <v>130</v>
      </c>
      <c r="C57" s="1">
        <v>45297</v>
      </c>
      <c r="D57" s="2">
        <v>0.89583333333333337</v>
      </c>
      <c r="E57" t="s">
        <v>28</v>
      </c>
      <c r="F57" t="s">
        <v>35</v>
      </c>
      <c r="G57" t="s">
        <v>30</v>
      </c>
      <c r="H57" t="s">
        <v>30</v>
      </c>
      <c r="I57">
        <v>4.3</v>
      </c>
      <c r="J57">
        <v>51</v>
      </c>
      <c r="K57" t="s">
        <v>17</v>
      </c>
      <c r="L57" t="s">
        <v>18</v>
      </c>
      <c r="M57" t="s">
        <v>19</v>
      </c>
      <c r="N57" t="s">
        <v>26</v>
      </c>
    </row>
    <row r="58" spans="1:14" x14ac:dyDescent="0.3">
      <c r="A58">
        <v>57</v>
      </c>
      <c r="B58" t="s">
        <v>131</v>
      </c>
      <c r="C58" s="1">
        <v>45300</v>
      </c>
      <c r="D58" s="2">
        <v>0.72916666666666663</v>
      </c>
      <c r="E58" t="s">
        <v>106</v>
      </c>
      <c r="F58" t="s">
        <v>35</v>
      </c>
      <c r="G58" t="s">
        <v>45</v>
      </c>
      <c r="H58" t="s">
        <v>48</v>
      </c>
      <c r="I58">
        <v>8.3000000000000007</v>
      </c>
      <c r="J58">
        <v>99</v>
      </c>
      <c r="K58" t="s">
        <v>17</v>
      </c>
      <c r="L58" t="s">
        <v>18</v>
      </c>
      <c r="M58" t="s">
        <v>19</v>
      </c>
      <c r="N58" t="s">
        <v>32</v>
      </c>
    </row>
    <row r="59" spans="1:14" x14ac:dyDescent="0.3">
      <c r="A59">
        <v>58</v>
      </c>
      <c r="B59" t="s">
        <v>132</v>
      </c>
      <c r="C59" s="1">
        <v>45305</v>
      </c>
      <c r="D59" s="2">
        <v>0.6875</v>
      </c>
      <c r="E59" t="s">
        <v>121</v>
      </c>
      <c r="F59" t="s">
        <v>55</v>
      </c>
      <c r="G59" t="s">
        <v>44</v>
      </c>
      <c r="H59" t="s">
        <v>23</v>
      </c>
      <c r="I59">
        <v>6.9</v>
      </c>
      <c r="J59">
        <v>124</v>
      </c>
      <c r="K59" t="s">
        <v>17</v>
      </c>
      <c r="L59" t="s">
        <v>18</v>
      </c>
      <c r="M59" t="s">
        <v>31</v>
      </c>
      <c r="N59" t="s">
        <v>32</v>
      </c>
    </row>
    <row r="60" spans="1:14" x14ac:dyDescent="0.3">
      <c r="A60">
        <v>59</v>
      </c>
      <c r="B60" t="s">
        <v>133</v>
      </c>
      <c r="C60" s="1">
        <v>45297</v>
      </c>
      <c r="D60" s="2">
        <v>0.5</v>
      </c>
      <c r="E60" t="s">
        <v>134</v>
      </c>
      <c r="F60" t="s">
        <v>55</v>
      </c>
      <c r="G60" t="s">
        <v>16</v>
      </c>
      <c r="H60" t="s">
        <v>44</v>
      </c>
      <c r="I60">
        <v>6.4</v>
      </c>
      <c r="J60">
        <v>115</v>
      </c>
      <c r="K60" t="s">
        <v>17</v>
      </c>
      <c r="L60" t="s">
        <v>18</v>
      </c>
      <c r="M60" t="s">
        <v>31</v>
      </c>
      <c r="N60" t="s">
        <v>32</v>
      </c>
    </row>
    <row r="61" spans="1:14" x14ac:dyDescent="0.3">
      <c r="A61">
        <v>60</v>
      </c>
      <c r="B61" t="s">
        <v>135</v>
      </c>
      <c r="C61" s="1">
        <v>45297</v>
      </c>
      <c r="D61" s="2">
        <v>0.92708333333333337</v>
      </c>
      <c r="E61" t="s">
        <v>134</v>
      </c>
      <c r="F61" t="s">
        <v>29</v>
      </c>
      <c r="G61" t="s">
        <v>48</v>
      </c>
      <c r="H61" t="s">
        <v>45</v>
      </c>
      <c r="I61">
        <v>3</v>
      </c>
      <c r="J61">
        <v>54</v>
      </c>
      <c r="K61" t="s">
        <v>24</v>
      </c>
      <c r="L61" t="s">
        <v>136</v>
      </c>
      <c r="M61" t="s">
        <v>31</v>
      </c>
      <c r="N61" t="s">
        <v>32</v>
      </c>
    </row>
    <row r="62" spans="1:14" x14ac:dyDescent="0.3">
      <c r="A62">
        <v>61</v>
      </c>
      <c r="B62" t="s">
        <v>137</v>
      </c>
      <c r="C62" s="1">
        <v>45305</v>
      </c>
      <c r="D62" s="2">
        <v>0.60416666666666663</v>
      </c>
      <c r="E62" t="s">
        <v>138</v>
      </c>
      <c r="F62" t="s">
        <v>55</v>
      </c>
      <c r="G62" t="s">
        <v>40</v>
      </c>
      <c r="H62" t="s">
        <v>45</v>
      </c>
      <c r="I62">
        <v>3.4</v>
      </c>
      <c r="J62">
        <v>61</v>
      </c>
      <c r="K62" t="s">
        <v>17</v>
      </c>
      <c r="L62" t="s">
        <v>18</v>
      </c>
      <c r="M62" t="s">
        <v>31</v>
      </c>
      <c r="N62" t="s">
        <v>26</v>
      </c>
    </row>
    <row r="63" spans="1:14" x14ac:dyDescent="0.3">
      <c r="A63">
        <v>62</v>
      </c>
      <c r="B63" t="s">
        <v>139</v>
      </c>
      <c r="C63" s="1">
        <v>45293</v>
      </c>
      <c r="D63" s="2">
        <v>0.58333333333333337</v>
      </c>
      <c r="E63" t="s">
        <v>74</v>
      </c>
      <c r="F63" t="s">
        <v>39</v>
      </c>
      <c r="G63" t="s">
        <v>36</v>
      </c>
      <c r="H63" t="s">
        <v>40</v>
      </c>
      <c r="I63">
        <v>2.9</v>
      </c>
      <c r="J63">
        <v>43</v>
      </c>
      <c r="K63" t="s">
        <v>17</v>
      </c>
      <c r="L63" t="s">
        <v>18</v>
      </c>
      <c r="M63" t="s">
        <v>41</v>
      </c>
      <c r="N63" t="s">
        <v>59</v>
      </c>
    </row>
    <row r="64" spans="1:14" x14ac:dyDescent="0.3">
      <c r="A64">
        <v>63</v>
      </c>
      <c r="B64" t="s">
        <v>140</v>
      </c>
      <c r="C64" s="1">
        <v>45300</v>
      </c>
      <c r="D64" s="2">
        <v>0.75</v>
      </c>
      <c r="E64" t="s">
        <v>22</v>
      </c>
      <c r="F64" t="s">
        <v>55</v>
      </c>
      <c r="G64" t="s">
        <v>44</v>
      </c>
      <c r="H64" t="s">
        <v>44</v>
      </c>
      <c r="I64">
        <v>8.3000000000000007</v>
      </c>
      <c r="J64">
        <v>149</v>
      </c>
      <c r="K64" t="s">
        <v>17</v>
      </c>
      <c r="L64" t="s">
        <v>18</v>
      </c>
      <c r="M64" t="s">
        <v>31</v>
      </c>
      <c r="N64" t="s">
        <v>59</v>
      </c>
    </row>
    <row r="65" spans="1:14" x14ac:dyDescent="0.3">
      <c r="A65">
        <v>64</v>
      </c>
      <c r="B65" t="s">
        <v>141</v>
      </c>
      <c r="C65" s="1">
        <v>45307</v>
      </c>
      <c r="D65" s="2">
        <v>0.5</v>
      </c>
      <c r="E65" t="s">
        <v>74</v>
      </c>
      <c r="F65" t="s">
        <v>29</v>
      </c>
      <c r="G65" t="s">
        <v>56</v>
      </c>
      <c r="H65" t="s">
        <v>48</v>
      </c>
      <c r="I65">
        <v>6.4</v>
      </c>
      <c r="J65">
        <v>115</v>
      </c>
      <c r="K65" t="s">
        <v>17</v>
      </c>
      <c r="L65" t="s">
        <v>18</v>
      </c>
      <c r="M65" t="s">
        <v>31</v>
      </c>
      <c r="N65" t="s">
        <v>26</v>
      </c>
    </row>
    <row r="66" spans="1:14" x14ac:dyDescent="0.3">
      <c r="A66">
        <v>65</v>
      </c>
      <c r="B66" t="s">
        <v>142</v>
      </c>
      <c r="C66" s="1">
        <v>45302</v>
      </c>
      <c r="D66" s="2">
        <v>0.625</v>
      </c>
      <c r="E66" t="s">
        <v>143</v>
      </c>
      <c r="F66" t="s">
        <v>29</v>
      </c>
      <c r="G66" t="s">
        <v>48</v>
      </c>
      <c r="H66" t="s">
        <v>44</v>
      </c>
      <c r="I66">
        <v>7.3</v>
      </c>
      <c r="J66">
        <v>131</v>
      </c>
      <c r="K66" t="s">
        <v>17</v>
      </c>
      <c r="L66" t="s">
        <v>18</v>
      </c>
      <c r="M66" t="s">
        <v>31</v>
      </c>
      <c r="N66" t="s">
        <v>26</v>
      </c>
    </row>
    <row r="67" spans="1:14" x14ac:dyDescent="0.3">
      <c r="A67">
        <v>66</v>
      </c>
      <c r="B67" t="s">
        <v>144</v>
      </c>
      <c r="C67" s="1">
        <v>45301</v>
      </c>
      <c r="D67" s="2">
        <v>0.72916666666666663</v>
      </c>
      <c r="E67" t="s">
        <v>145</v>
      </c>
      <c r="F67" t="s">
        <v>35</v>
      </c>
      <c r="G67" t="s">
        <v>23</v>
      </c>
      <c r="H67" t="s">
        <v>40</v>
      </c>
      <c r="I67">
        <v>4</v>
      </c>
      <c r="J67">
        <v>48</v>
      </c>
      <c r="K67" t="s">
        <v>17</v>
      </c>
      <c r="L67" t="s">
        <v>18</v>
      </c>
      <c r="M67" t="s">
        <v>19</v>
      </c>
      <c r="N67" t="s">
        <v>26</v>
      </c>
    </row>
    <row r="68" spans="1:14" x14ac:dyDescent="0.3">
      <c r="A68">
        <v>67</v>
      </c>
      <c r="B68" t="s">
        <v>146</v>
      </c>
      <c r="C68" s="1">
        <v>45305</v>
      </c>
      <c r="D68" s="2">
        <v>0.57291666666666663</v>
      </c>
      <c r="E68" t="s">
        <v>147</v>
      </c>
      <c r="F68" t="s">
        <v>29</v>
      </c>
      <c r="G68" t="s">
        <v>40</v>
      </c>
      <c r="H68" t="s">
        <v>44</v>
      </c>
      <c r="I68">
        <v>3.9</v>
      </c>
      <c r="J68">
        <v>70</v>
      </c>
      <c r="K68" t="s">
        <v>24</v>
      </c>
      <c r="L68" t="s">
        <v>136</v>
      </c>
      <c r="M68" t="s">
        <v>31</v>
      </c>
      <c r="N68" t="s">
        <v>59</v>
      </c>
    </row>
    <row r="69" spans="1:14" x14ac:dyDescent="0.3">
      <c r="A69">
        <v>68</v>
      </c>
      <c r="B69" t="s">
        <v>148</v>
      </c>
      <c r="C69" s="1">
        <v>45311</v>
      </c>
      <c r="D69" s="2">
        <v>0.65625</v>
      </c>
      <c r="E69" t="s">
        <v>68</v>
      </c>
      <c r="F69" t="s">
        <v>55</v>
      </c>
      <c r="G69" t="s">
        <v>51</v>
      </c>
      <c r="H69" t="s">
        <v>23</v>
      </c>
      <c r="I69">
        <v>5.3</v>
      </c>
      <c r="J69">
        <v>95</v>
      </c>
      <c r="K69" t="s">
        <v>17</v>
      </c>
      <c r="L69" t="s">
        <v>18</v>
      </c>
      <c r="M69" t="s">
        <v>31</v>
      </c>
      <c r="N69" t="s">
        <v>59</v>
      </c>
    </row>
    <row r="70" spans="1:14" x14ac:dyDescent="0.3">
      <c r="A70">
        <v>69</v>
      </c>
      <c r="B70" t="s">
        <v>149</v>
      </c>
      <c r="C70" s="1">
        <v>45301</v>
      </c>
      <c r="D70" s="2">
        <v>0.75</v>
      </c>
      <c r="E70" t="s">
        <v>50</v>
      </c>
      <c r="F70" t="s">
        <v>55</v>
      </c>
      <c r="G70" t="s">
        <v>36</v>
      </c>
      <c r="H70" t="s">
        <v>16</v>
      </c>
      <c r="I70">
        <v>6.1</v>
      </c>
      <c r="J70">
        <v>109</v>
      </c>
      <c r="K70" t="s">
        <v>24</v>
      </c>
      <c r="L70" t="s">
        <v>78</v>
      </c>
      <c r="M70" t="s">
        <v>31</v>
      </c>
      <c r="N70" t="s">
        <v>32</v>
      </c>
    </row>
    <row r="71" spans="1:14" x14ac:dyDescent="0.3">
      <c r="A71">
        <v>70</v>
      </c>
      <c r="B71" t="s">
        <v>150</v>
      </c>
      <c r="C71" s="1">
        <v>45309</v>
      </c>
      <c r="D71" s="2">
        <v>0.82291666666666663</v>
      </c>
      <c r="E71" t="s">
        <v>151</v>
      </c>
      <c r="F71" t="s">
        <v>15</v>
      </c>
      <c r="G71" t="s">
        <v>45</v>
      </c>
      <c r="H71" t="s">
        <v>23</v>
      </c>
      <c r="I71">
        <v>2.2000000000000002</v>
      </c>
      <c r="J71">
        <v>99</v>
      </c>
      <c r="K71" t="s">
        <v>17</v>
      </c>
      <c r="L71" t="s">
        <v>18</v>
      </c>
      <c r="M71" t="s">
        <v>53</v>
      </c>
      <c r="N71" t="s">
        <v>59</v>
      </c>
    </row>
    <row r="72" spans="1:14" x14ac:dyDescent="0.3">
      <c r="A72">
        <v>71</v>
      </c>
      <c r="B72" t="s">
        <v>152</v>
      </c>
      <c r="C72" s="1">
        <v>45303</v>
      </c>
      <c r="D72" s="2">
        <v>0.72916666666666663</v>
      </c>
      <c r="E72" t="s">
        <v>61</v>
      </c>
      <c r="F72" t="s">
        <v>55</v>
      </c>
      <c r="G72" t="s">
        <v>30</v>
      </c>
      <c r="H72" t="s">
        <v>45</v>
      </c>
      <c r="I72">
        <v>9.6</v>
      </c>
      <c r="J72">
        <v>172</v>
      </c>
      <c r="K72" t="s">
        <v>17</v>
      </c>
      <c r="L72" t="s">
        <v>18</v>
      </c>
      <c r="M72" t="s">
        <v>31</v>
      </c>
      <c r="N72" t="s">
        <v>20</v>
      </c>
    </row>
    <row r="73" spans="1:14" x14ac:dyDescent="0.3">
      <c r="A73">
        <v>72</v>
      </c>
      <c r="B73" t="s">
        <v>153</v>
      </c>
      <c r="C73" s="1">
        <v>45299</v>
      </c>
      <c r="D73" s="2">
        <v>0.92708333333333337</v>
      </c>
      <c r="E73" t="s">
        <v>145</v>
      </c>
      <c r="F73" t="s">
        <v>29</v>
      </c>
      <c r="G73" t="s">
        <v>30</v>
      </c>
      <c r="H73" t="s">
        <v>48</v>
      </c>
      <c r="I73">
        <v>2.4</v>
      </c>
      <c r="J73">
        <v>43</v>
      </c>
      <c r="K73" t="s">
        <v>17</v>
      </c>
      <c r="L73" t="s">
        <v>18</v>
      </c>
      <c r="M73" t="s">
        <v>31</v>
      </c>
      <c r="N73" t="s">
        <v>59</v>
      </c>
    </row>
    <row r="74" spans="1:14" x14ac:dyDescent="0.3">
      <c r="A74">
        <v>73</v>
      </c>
      <c r="B74" t="s">
        <v>154</v>
      </c>
      <c r="C74" s="1">
        <v>45306</v>
      </c>
      <c r="D74" s="2">
        <v>0.59375</v>
      </c>
      <c r="E74" t="s">
        <v>155</v>
      </c>
      <c r="F74" t="s">
        <v>15</v>
      </c>
      <c r="G74" t="s">
        <v>40</v>
      </c>
      <c r="H74" t="s">
        <v>16</v>
      </c>
      <c r="I74">
        <v>10.7</v>
      </c>
      <c r="J74">
        <v>321</v>
      </c>
      <c r="K74" t="s">
        <v>17</v>
      </c>
      <c r="L74" t="s">
        <v>18</v>
      </c>
      <c r="M74" t="s">
        <v>19</v>
      </c>
      <c r="N74" t="s">
        <v>59</v>
      </c>
    </row>
    <row r="75" spans="1:14" x14ac:dyDescent="0.3">
      <c r="A75">
        <v>74</v>
      </c>
      <c r="B75" t="s">
        <v>156</v>
      </c>
      <c r="C75" s="1">
        <v>45298</v>
      </c>
      <c r="D75" s="2">
        <v>0.65625</v>
      </c>
      <c r="E75" t="s">
        <v>58</v>
      </c>
      <c r="F75" t="s">
        <v>29</v>
      </c>
      <c r="G75" t="s">
        <v>30</v>
      </c>
      <c r="H75" t="s">
        <v>16</v>
      </c>
      <c r="I75">
        <v>10</v>
      </c>
      <c r="J75">
        <v>180</v>
      </c>
      <c r="K75" t="s">
        <v>17</v>
      </c>
      <c r="L75" t="s">
        <v>18</v>
      </c>
      <c r="M75" t="s">
        <v>31</v>
      </c>
      <c r="N75" t="s">
        <v>20</v>
      </c>
    </row>
    <row r="76" spans="1:14" x14ac:dyDescent="0.3">
      <c r="A76">
        <v>75</v>
      </c>
      <c r="B76" t="s">
        <v>157</v>
      </c>
      <c r="C76" s="1">
        <v>45297</v>
      </c>
      <c r="D76" s="2">
        <v>0.34375</v>
      </c>
      <c r="E76" t="s">
        <v>158</v>
      </c>
      <c r="F76" t="s">
        <v>35</v>
      </c>
      <c r="G76" t="s">
        <v>16</v>
      </c>
      <c r="H76" t="s">
        <v>51</v>
      </c>
      <c r="I76">
        <v>10.1</v>
      </c>
      <c r="J76">
        <v>121</v>
      </c>
      <c r="K76" t="s">
        <v>24</v>
      </c>
      <c r="L76" t="s">
        <v>136</v>
      </c>
      <c r="M76" t="s">
        <v>19</v>
      </c>
      <c r="N76" t="s">
        <v>26</v>
      </c>
    </row>
    <row r="77" spans="1:14" x14ac:dyDescent="0.3">
      <c r="A77">
        <v>76</v>
      </c>
      <c r="B77" t="s">
        <v>159</v>
      </c>
      <c r="C77" s="1">
        <v>45300</v>
      </c>
      <c r="D77" s="2">
        <v>0.39583333333333331</v>
      </c>
      <c r="E77" t="s">
        <v>72</v>
      </c>
      <c r="F77" t="s">
        <v>15</v>
      </c>
      <c r="G77" t="s">
        <v>30</v>
      </c>
      <c r="H77" t="s">
        <v>51</v>
      </c>
      <c r="I77">
        <v>9.4</v>
      </c>
      <c r="J77">
        <v>282</v>
      </c>
      <c r="K77" t="s">
        <v>17</v>
      </c>
      <c r="L77" t="s">
        <v>18</v>
      </c>
      <c r="M77" t="s">
        <v>19</v>
      </c>
      <c r="N77" t="s">
        <v>26</v>
      </c>
    </row>
    <row r="78" spans="1:14" x14ac:dyDescent="0.3">
      <c r="A78">
        <v>77</v>
      </c>
      <c r="B78" t="s">
        <v>160</v>
      </c>
      <c r="C78" s="1">
        <v>45292</v>
      </c>
      <c r="D78" s="2">
        <v>0.84375</v>
      </c>
      <c r="E78" t="s">
        <v>90</v>
      </c>
      <c r="F78" t="s">
        <v>15</v>
      </c>
      <c r="G78" t="s">
        <v>44</v>
      </c>
      <c r="H78" t="s">
        <v>40</v>
      </c>
      <c r="I78">
        <v>8.1999999999999993</v>
      </c>
      <c r="J78">
        <v>245</v>
      </c>
      <c r="K78" t="s">
        <v>24</v>
      </c>
      <c r="L78" t="s">
        <v>136</v>
      </c>
      <c r="M78" t="s">
        <v>19</v>
      </c>
      <c r="N78" t="s">
        <v>59</v>
      </c>
    </row>
    <row r="79" spans="1:14" x14ac:dyDescent="0.3">
      <c r="A79">
        <v>78</v>
      </c>
      <c r="B79" t="s">
        <v>161</v>
      </c>
      <c r="C79" s="1">
        <v>45304</v>
      </c>
      <c r="D79" s="2">
        <v>0.5</v>
      </c>
      <c r="E79" t="s">
        <v>162</v>
      </c>
      <c r="F79" t="s">
        <v>35</v>
      </c>
      <c r="G79" t="s">
        <v>36</v>
      </c>
      <c r="H79" t="s">
        <v>40</v>
      </c>
      <c r="I79">
        <v>9.1</v>
      </c>
      <c r="J79">
        <v>109</v>
      </c>
      <c r="K79" t="s">
        <v>17</v>
      </c>
      <c r="L79" t="s">
        <v>18</v>
      </c>
      <c r="M79" t="s">
        <v>19</v>
      </c>
      <c r="N79" t="s">
        <v>26</v>
      </c>
    </row>
    <row r="80" spans="1:14" x14ac:dyDescent="0.3">
      <c r="A80">
        <v>79</v>
      </c>
      <c r="B80" t="s">
        <v>163</v>
      </c>
      <c r="C80" s="1">
        <v>45304</v>
      </c>
      <c r="D80" s="2">
        <v>0.66666666666666663</v>
      </c>
      <c r="E80" t="s">
        <v>113</v>
      </c>
      <c r="F80" t="s">
        <v>39</v>
      </c>
      <c r="G80" t="s">
        <v>51</v>
      </c>
      <c r="H80" t="s">
        <v>40</v>
      </c>
      <c r="I80">
        <v>2.4</v>
      </c>
      <c r="J80">
        <v>36</v>
      </c>
      <c r="K80" t="s">
        <v>24</v>
      </c>
      <c r="L80" t="s">
        <v>25</v>
      </c>
      <c r="M80" t="s">
        <v>41</v>
      </c>
      <c r="N80" t="s">
        <v>26</v>
      </c>
    </row>
    <row r="81" spans="1:14" x14ac:dyDescent="0.3">
      <c r="A81">
        <v>80</v>
      </c>
      <c r="B81" t="s">
        <v>164</v>
      </c>
      <c r="C81" s="1">
        <v>45293</v>
      </c>
      <c r="D81" s="2">
        <v>0.34375</v>
      </c>
      <c r="E81" t="s">
        <v>138</v>
      </c>
      <c r="F81" t="s">
        <v>39</v>
      </c>
      <c r="G81" t="s">
        <v>45</v>
      </c>
      <c r="H81" t="s">
        <v>40</v>
      </c>
      <c r="I81">
        <v>4.3</v>
      </c>
      <c r="J81">
        <v>64</v>
      </c>
      <c r="K81" t="s">
        <v>17</v>
      </c>
      <c r="L81" t="s">
        <v>18</v>
      </c>
      <c r="M81" t="s">
        <v>41</v>
      </c>
      <c r="N81" t="s">
        <v>59</v>
      </c>
    </row>
    <row r="82" spans="1:14" x14ac:dyDescent="0.3">
      <c r="A82">
        <v>81</v>
      </c>
      <c r="B82" t="s">
        <v>165</v>
      </c>
      <c r="C82" s="1">
        <v>45296</v>
      </c>
      <c r="D82" s="2">
        <v>0.48958333333333331</v>
      </c>
      <c r="E82" t="s">
        <v>85</v>
      </c>
      <c r="F82" t="s">
        <v>55</v>
      </c>
      <c r="G82" t="s">
        <v>56</v>
      </c>
      <c r="H82" t="s">
        <v>30</v>
      </c>
      <c r="I82">
        <v>11.3</v>
      </c>
      <c r="J82">
        <v>203</v>
      </c>
      <c r="K82" t="s">
        <v>17</v>
      </c>
      <c r="L82" t="s">
        <v>18</v>
      </c>
      <c r="M82" t="s">
        <v>31</v>
      </c>
      <c r="N82" t="s">
        <v>20</v>
      </c>
    </row>
    <row r="83" spans="1:14" x14ac:dyDescent="0.3">
      <c r="A83">
        <v>82</v>
      </c>
      <c r="B83" t="s">
        <v>166</v>
      </c>
      <c r="C83" s="1">
        <v>45304</v>
      </c>
      <c r="D83" s="2">
        <v>0.86458333333333337</v>
      </c>
      <c r="E83" t="s">
        <v>167</v>
      </c>
      <c r="F83" t="s">
        <v>39</v>
      </c>
      <c r="G83" t="s">
        <v>40</v>
      </c>
      <c r="H83" t="s">
        <v>16</v>
      </c>
      <c r="I83">
        <v>3.7</v>
      </c>
      <c r="J83">
        <v>55</v>
      </c>
      <c r="K83" t="s">
        <v>17</v>
      </c>
      <c r="L83" t="s">
        <v>18</v>
      </c>
      <c r="M83" t="s">
        <v>41</v>
      </c>
      <c r="N83" t="s">
        <v>20</v>
      </c>
    </row>
    <row r="84" spans="1:14" x14ac:dyDescent="0.3">
      <c r="A84">
        <v>83</v>
      </c>
      <c r="B84" t="s">
        <v>168</v>
      </c>
      <c r="C84" s="1">
        <v>45311</v>
      </c>
      <c r="D84" s="2">
        <v>0.90625</v>
      </c>
      <c r="E84" t="s">
        <v>14</v>
      </c>
      <c r="F84" t="s">
        <v>39</v>
      </c>
      <c r="G84" t="s">
        <v>48</v>
      </c>
      <c r="H84" t="s">
        <v>51</v>
      </c>
      <c r="I84">
        <v>6.1</v>
      </c>
      <c r="J84">
        <v>91</v>
      </c>
      <c r="K84" t="s">
        <v>17</v>
      </c>
      <c r="L84" t="s">
        <v>18</v>
      </c>
      <c r="M84" t="s">
        <v>41</v>
      </c>
      <c r="N84" t="s">
        <v>59</v>
      </c>
    </row>
    <row r="85" spans="1:14" x14ac:dyDescent="0.3">
      <c r="A85">
        <v>84</v>
      </c>
      <c r="B85" t="s">
        <v>169</v>
      </c>
      <c r="C85" s="1">
        <v>45310</v>
      </c>
      <c r="D85" s="2">
        <v>0.35416666666666669</v>
      </c>
      <c r="E85" t="s">
        <v>58</v>
      </c>
      <c r="F85" t="s">
        <v>29</v>
      </c>
      <c r="G85" t="s">
        <v>40</v>
      </c>
      <c r="H85" t="s">
        <v>40</v>
      </c>
      <c r="I85">
        <v>2.2999999999999998</v>
      </c>
      <c r="J85">
        <v>41</v>
      </c>
      <c r="K85" t="s">
        <v>17</v>
      </c>
      <c r="L85" t="s">
        <v>18</v>
      </c>
      <c r="M85" t="s">
        <v>31</v>
      </c>
      <c r="N85" t="s">
        <v>26</v>
      </c>
    </row>
    <row r="86" spans="1:14" x14ac:dyDescent="0.3">
      <c r="A86">
        <v>85</v>
      </c>
      <c r="B86" t="s">
        <v>170</v>
      </c>
      <c r="C86" s="1">
        <v>45310</v>
      </c>
      <c r="D86" s="2">
        <v>0.73958333333333337</v>
      </c>
      <c r="E86" t="s">
        <v>97</v>
      </c>
      <c r="F86" t="s">
        <v>39</v>
      </c>
      <c r="G86" t="s">
        <v>44</v>
      </c>
      <c r="H86" t="s">
        <v>51</v>
      </c>
      <c r="I86">
        <v>5.7</v>
      </c>
      <c r="J86">
        <v>85</v>
      </c>
      <c r="K86" t="s">
        <v>17</v>
      </c>
      <c r="L86" t="s">
        <v>18</v>
      </c>
      <c r="M86" t="s">
        <v>41</v>
      </c>
      <c r="N86" t="s">
        <v>59</v>
      </c>
    </row>
    <row r="87" spans="1:14" x14ac:dyDescent="0.3">
      <c r="A87">
        <v>86</v>
      </c>
      <c r="B87" t="s">
        <v>171</v>
      </c>
      <c r="C87" s="1">
        <v>45308</v>
      </c>
      <c r="D87" s="2">
        <v>0.375</v>
      </c>
      <c r="E87" t="s">
        <v>109</v>
      </c>
      <c r="F87" t="s">
        <v>55</v>
      </c>
      <c r="G87" t="s">
        <v>48</v>
      </c>
      <c r="H87" t="s">
        <v>56</v>
      </c>
      <c r="I87">
        <v>9.8000000000000007</v>
      </c>
      <c r="J87">
        <v>176</v>
      </c>
      <c r="K87" t="s">
        <v>24</v>
      </c>
      <c r="L87" t="s">
        <v>88</v>
      </c>
      <c r="M87" t="s">
        <v>31</v>
      </c>
      <c r="N87" t="s">
        <v>26</v>
      </c>
    </row>
    <row r="88" spans="1:14" x14ac:dyDescent="0.3">
      <c r="A88">
        <v>87</v>
      </c>
      <c r="B88" t="s">
        <v>172</v>
      </c>
      <c r="C88" s="1">
        <v>45294</v>
      </c>
      <c r="D88" s="2">
        <v>0.41666666666666669</v>
      </c>
      <c r="E88" t="s">
        <v>143</v>
      </c>
      <c r="F88" t="s">
        <v>39</v>
      </c>
      <c r="G88" t="s">
        <v>40</v>
      </c>
      <c r="H88" t="s">
        <v>30</v>
      </c>
      <c r="I88">
        <v>2</v>
      </c>
      <c r="J88">
        <v>30</v>
      </c>
      <c r="K88" t="s">
        <v>17</v>
      </c>
      <c r="L88" t="s">
        <v>18</v>
      </c>
      <c r="M88" t="s">
        <v>41</v>
      </c>
      <c r="N88" t="s">
        <v>32</v>
      </c>
    </row>
    <row r="89" spans="1:14" x14ac:dyDescent="0.3">
      <c r="A89">
        <v>88</v>
      </c>
      <c r="B89" t="s">
        <v>173</v>
      </c>
      <c r="C89" s="1">
        <v>45303</v>
      </c>
      <c r="D89" s="2">
        <v>0.875</v>
      </c>
      <c r="E89" t="s">
        <v>92</v>
      </c>
      <c r="F89" t="s">
        <v>15</v>
      </c>
      <c r="G89" t="s">
        <v>56</v>
      </c>
      <c r="H89" t="s">
        <v>16</v>
      </c>
      <c r="I89">
        <v>8.6</v>
      </c>
      <c r="J89">
        <v>258</v>
      </c>
      <c r="K89" t="s">
        <v>17</v>
      </c>
      <c r="L89" t="s">
        <v>18</v>
      </c>
      <c r="M89" t="s">
        <v>19</v>
      </c>
      <c r="N89" t="s">
        <v>20</v>
      </c>
    </row>
    <row r="90" spans="1:14" x14ac:dyDescent="0.3">
      <c r="A90">
        <v>89</v>
      </c>
      <c r="B90" t="s">
        <v>174</v>
      </c>
      <c r="C90" s="1">
        <v>45309</v>
      </c>
      <c r="D90" s="2">
        <v>0.6875</v>
      </c>
      <c r="E90" t="s">
        <v>94</v>
      </c>
      <c r="F90" t="s">
        <v>29</v>
      </c>
      <c r="G90" t="s">
        <v>40</v>
      </c>
      <c r="H90" t="s">
        <v>44</v>
      </c>
      <c r="I90">
        <v>7.7</v>
      </c>
      <c r="J90">
        <v>138</v>
      </c>
      <c r="K90" t="s">
        <v>17</v>
      </c>
      <c r="L90" t="s">
        <v>18</v>
      </c>
      <c r="M90" t="s">
        <v>31</v>
      </c>
      <c r="N90" t="s">
        <v>32</v>
      </c>
    </row>
    <row r="91" spans="1:14" x14ac:dyDescent="0.3">
      <c r="A91">
        <v>90</v>
      </c>
      <c r="B91" t="s">
        <v>175</v>
      </c>
      <c r="C91" s="1">
        <v>45308</v>
      </c>
      <c r="D91" s="2">
        <v>0.67708333333333337</v>
      </c>
      <c r="E91" t="s">
        <v>77</v>
      </c>
      <c r="F91" t="s">
        <v>55</v>
      </c>
      <c r="G91" t="s">
        <v>36</v>
      </c>
      <c r="H91" t="s">
        <v>36</v>
      </c>
      <c r="I91">
        <v>6.6</v>
      </c>
      <c r="J91">
        <v>118</v>
      </c>
      <c r="K91" t="s">
        <v>17</v>
      </c>
      <c r="L91" t="s">
        <v>18</v>
      </c>
      <c r="M91" t="s">
        <v>31</v>
      </c>
      <c r="N91" t="s">
        <v>20</v>
      </c>
    </row>
    <row r="92" spans="1:14" x14ac:dyDescent="0.3">
      <c r="A92">
        <v>91</v>
      </c>
      <c r="B92" t="s">
        <v>176</v>
      </c>
      <c r="C92" s="1">
        <v>45297</v>
      </c>
      <c r="D92" s="2">
        <v>0.83333333333333337</v>
      </c>
      <c r="E92" t="s">
        <v>64</v>
      </c>
      <c r="F92" t="s">
        <v>15</v>
      </c>
      <c r="G92" t="s">
        <v>45</v>
      </c>
      <c r="H92" t="s">
        <v>36</v>
      </c>
      <c r="I92">
        <v>9.1</v>
      </c>
      <c r="J92">
        <v>409</v>
      </c>
      <c r="K92" t="s">
        <v>24</v>
      </c>
      <c r="L92" t="s">
        <v>70</v>
      </c>
      <c r="M92" t="s">
        <v>53</v>
      </c>
      <c r="N92" t="s">
        <v>26</v>
      </c>
    </row>
    <row r="93" spans="1:14" x14ac:dyDescent="0.3">
      <c r="A93">
        <v>92</v>
      </c>
      <c r="B93" t="s">
        <v>177</v>
      </c>
      <c r="C93" s="1">
        <v>45308</v>
      </c>
      <c r="D93" s="2">
        <v>0.40625</v>
      </c>
      <c r="E93" t="s">
        <v>147</v>
      </c>
      <c r="F93" t="s">
        <v>15</v>
      </c>
      <c r="G93" t="s">
        <v>40</v>
      </c>
      <c r="H93" t="s">
        <v>48</v>
      </c>
      <c r="I93">
        <v>3.2</v>
      </c>
      <c r="J93">
        <v>96</v>
      </c>
      <c r="K93" t="s">
        <v>17</v>
      </c>
      <c r="L93" t="s">
        <v>18</v>
      </c>
      <c r="M93" t="s">
        <v>19</v>
      </c>
      <c r="N93" t="s">
        <v>26</v>
      </c>
    </row>
    <row r="94" spans="1:14" x14ac:dyDescent="0.3">
      <c r="A94">
        <v>93</v>
      </c>
      <c r="B94" t="s">
        <v>178</v>
      </c>
      <c r="C94" s="1">
        <v>45293</v>
      </c>
      <c r="D94" s="2">
        <v>0.41666666666666669</v>
      </c>
      <c r="E94" t="s">
        <v>77</v>
      </c>
      <c r="F94" t="s">
        <v>39</v>
      </c>
      <c r="G94" t="s">
        <v>51</v>
      </c>
      <c r="H94" t="s">
        <v>44</v>
      </c>
      <c r="I94">
        <v>9.3000000000000007</v>
      </c>
      <c r="J94">
        <v>139</v>
      </c>
      <c r="K94" t="s">
        <v>24</v>
      </c>
      <c r="L94" t="s">
        <v>78</v>
      </c>
      <c r="M94" t="s">
        <v>41</v>
      </c>
      <c r="N94" t="s">
        <v>20</v>
      </c>
    </row>
    <row r="95" spans="1:14" x14ac:dyDescent="0.3">
      <c r="A95">
        <v>94</v>
      </c>
      <c r="B95" t="s">
        <v>179</v>
      </c>
      <c r="C95" s="1">
        <v>45295</v>
      </c>
      <c r="D95" s="2">
        <v>0.70833333333333337</v>
      </c>
      <c r="E95" t="s">
        <v>151</v>
      </c>
      <c r="F95" t="s">
        <v>15</v>
      </c>
      <c r="G95" t="s">
        <v>45</v>
      </c>
      <c r="H95" t="s">
        <v>45</v>
      </c>
      <c r="I95">
        <v>11.8</v>
      </c>
      <c r="J95">
        <v>354</v>
      </c>
      <c r="K95" t="s">
        <v>17</v>
      </c>
      <c r="L95" t="s">
        <v>18</v>
      </c>
      <c r="M95" t="s">
        <v>19</v>
      </c>
      <c r="N95" t="s">
        <v>26</v>
      </c>
    </row>
    <row r="96" spans="1:14" x14ac:dyDescent="0.3">
      <c r="A96">
        <v>95</v>
      </c>
      <c r="B96" t="s">
        <v>180</v>
      </c>
      <c r="C96" s="1">
        <v>45300</v>
      </c>
      <c r="D96" s="2">
        <v>0.84375</v>
      </c>
      <c r="E96" t="s">
        <v>85</v>
      </c>
      <c r="F96" t="s">
        <v>35</v>
      </c>
      <c r="G96" t="s">
        <v>45</v>
      </c>
      <c r="H96" t="s">
        <v>56</v>
      </c>
      <c r="I96">
        <v>9.3000000000000007</v>
      </c>
      <c r="J96">
        <v>111</v>
      </c>
      <c r="K96" t="s">
        <v>17</v>
      </c>
      <c r="L96" t="s">
        <v>18</v>
      </c>
      <c r="M96" t="s">
        <v>19</v>
      </c>
      <c r="N96" t="s">
        <v>20</v>
      </c>
    </row>
    <row r="97" spans="1:14" x14ac:dyDescent="0.3">
      <c r="A97">
        <v>96</v>
      </c>
      <c r="B97" t="s">
        <v>181</v>
      </c>
      <c r="C97" s="1">
        <v>45293</v>
      </c>
      <c r="D97" s="2">
        <v>0.9375</v>
      </c>
      <c r="E97" t="s">
        <v>145</v>
      </c>
      <c r="F97" t="s">
        <v>29</v>
      </c>
      <c r="G97" t="s">
        <v>45</v>
      </c>
      <c r="H97" t="s">
        <v>30</v>
      </c>
      <c r="I97">
        <v>7.8</v>
      </c>
      <c r="J97">
        <v>140</v>
      </c>
      <c r="K97" t="s">
        <v>17</v>
      </c>
      <c r="L97" t="s">
        <v>18</v>
      </c>
      <c r="M97" t="s">
        <v>31</v>
      </c>
      <c r="N97" t="s">
        <v>26</v>
      </c>
    </row>
    <row r="98" spans="1:14" x14ac:dyDescent="0.3">
      <c r="A98">
        <v>97</v>
      </c>
      <c r="B98" t="s">
        <v>182</v>
      </c>
      <c r="C98" s="1">
        <v>45307</v>
      </c>
      <c r="D98" s="2">
        <v>0.84375</v>
      </c>
      <c r="E98" t="s">
        <v>104</v>
      </c>
      <c r="F98" t="s">
        <v>29</v>
      </c>
      <c r="G98" t="s">
        <v>56</v>
      </c>
      <c r="H98" t="s">
        <v>36</v>
      </c>
      <c r="I98">
        <v>8</v>
      </c>
      <c r="J98">
        <v>144</v>
      </c>
      <c r="K98" t="s">
        <v>24</v>
      </c>
      <c r="L98" t="s">
        <v>88</v>
      </c>
      <c r="M98" t="s">
        <v>31</v>
      </c>
      <c r="N98" t="s">
        <v>20</v>
      </c>
    </row>
    <row r="99" spans="1:14" x14ac:dyDescent="0.3">
      <c r="A99">
        <v>98</v>
      </c>
      <c r="B99" t="s">
        <v>183</v>
      </c>
      <c r="C99" s="1">
        <v>45302</v>
      </c>
      <c r="D99" s="2">
        <v>0.55208333333333337</v>
      </c>
      <c r="E99" t="s">
        <v>43</v>
      </c>
      <c r="F99" t="s">
        <v>29</v>
      </c>
      <c r="G99" t="s">
        <v>48</v>
      </c>
      <c r="H99" t="s">
        <v>51</v>
      </c>
      <c r="I99">
        <v>2.9</v>
      </c>
      <c r="J99">
        <v>52</v>
      </c>
      <c r="K99" t="s">
        <v>17</v>
      </c>
      <c r="L99" t="s">
        <v>18</v>
      </c>
      <c r="M99" t="s">
        <v>31</v>
      </c>
      <c r="N99" t="s">
        <v>26</v>
      </c>
    </row>
    <row r="100" spans="1:14" x14ac:dyDescent="0.3">
      <c r="A100">
        <v>99</v>
      </c>
      <c r="B100" t="s">
        <v>184</v>
      </c>
      <c r="C100" s="1">
        <v>45303</v>
      </c>
      <c r="D100" s="2">
        <v>0.54166666666666663</v>
      </c>
      <c r="E100" t="s">
        <v>185</v>
      </c>
      <c r="F100" t="s">
        <v>55</v>
      </c>
      <c r="G100" t="s">
        <v>23</v>
      </c>
      <c r="H100" t="s">
        <v>40</v>
      </c>
      <c r="I100">
        <v>2.6</v>
      </c>
      <c r="J100">
        <v>46</v>
      </c>
      <c r="K100" t="s">
        <v>17</v>
      </c>
      <c r="L100" t="s">
        <v>18</v>
      </c>
      <c r="M100" t="s">
        <v>31</v>
      </c>
      <c r="N100" t="s">
        <v>26</v>
      </c>
    </row>
    <row r="101" spans="1:14" x14ac:dyDescent="0.3">
      <c r="A101">
        <v>100</v>
      </c>
      <c r="B101" t="s">
        <v>186</v>
      </c>
      <c r="C101" s="1">
        <v>45302</v>
      </c>
      <c r="D101" s="2">
        <v>0.5625</v>
      </c>
      <c r="E101" t="s">
        <v>134</v>
      </c>
      <c r="F101" t="s">
        <v>29</v>
      </c>
      <c r="G101" t="s">
        <v>40</v>
      </c>
      <c r="H101" t="s">
        <v>48</v>
      </c>
      <c r="I101">
        <v>11.2</v>
      </c>
      <c r="J101">
        <v>201</v>
      </c>
      <c r="K101" t="s">
        <v>24</v>
      </c>
      <c r="L101" t="s">
        <v>88</v>
      </c>
      <c r="M101" t="s">
        <v>31</v>
      </c>
      <c r="N101" t="s">
        <v>32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94F5B0-F9AD-4E25-AB05-DBE53DBE493C}">
  <dimension ref="A1:P101"/>
  <sheetViews>
    <sheetView tabSelected="1" topLeftCell="A42" workbookViewId="0">
      <selection sqref="A1:P1"/>
    </sheetView>
  </sheetViews>
  <sheetFormatPr defaultRowHeight="14.4" x14ac:dyDescent="0.3"/>
  <cols>
    <col min="1" max="1" width="15.88671875" customWidth="1"/>
    <col min="2" max="2" width="14.21875" customWidth="1"/>
    <col min="3" max="3" width="14" customWidth="1"/>
    <col min="4" max="4" width="16.44140625" customWidth="1"/>
    <col min="5" max="5" width="15.21875" customWidth="1"/>
    <col min="6" max="6" width="16.88671875" customWidth="1"/>
    <col min="7" max="7" width="25.33203125" customWidth="1"/>
    <col min="8" max="8" width="13.33203125" customWidth="1"/>
    <col min="9" max="9" width="12.5546875" customWidth="1"/>
    <col min="10" max="10" width="9.88671875" customWidth="1"/>
    <col min="11" max="11" width="16.109375" customWidth="1"/>
    <col min="12" max="12" width="15.5546875" customWidth="1"/>
    <col min="13" max="13" width="14.109375" customWidth="1"/>
    <col min="14" max="14" width="12.77734375" customWidth="1"/>
    <col min="15" max="15" width="13" customWidth="1"/>
    <col min="16" max="16" width="15.6640625" customWidth="1"/>
  </cols>
  <sheetData>
    <row r="1" spans="1:16" ht="28.8" thickBot="1" x14ac:dyDescent="0.35">
      <c r="A1" s="7" t="s">
        <v>3</v>
      </c>
      <c r="B1" s="7" t="s">
        <v>187</v>
      </c>
      <c r="C1" s="7" t="s">
        <v>188</v>
      </c>
      <c r="D1" s="7" t="s">
        <v>189</v>
      </c>
      <c r="E1" s="7" t="s">
        <v>190</v>
      </c>
      <c r="F1" s="7" t="s">
        <v>191</v>
      </c>
      <c r="G1" s="7" t="s">
        <v>192</v>
      </c>
      <c r="H1" s="7" t="s">
        <v>193</v>
      </c>
      <c r="I1" s="7" t="s">
        <v>194</v>
      </c>
      <c r="J1" s="7" t="s">
        <v>195</v>
      </c>
      <c r="K1" s="7" t="s">
        <v>196</v>
      </c>
      <c r="L1" s="7" t="s">
        <v>4</v>
      </c>
      <c r="M1" s="7" t="s">
        <v>197</v>
      </c>
      <c r="N1" s="7" t="s">
        <v>198</v>
      </c>
      <c r="O1" s="7" t="s">
        <v>199</v>
      </c>
      <c r="P1" s="7" t="s">
        <v>200</v>
      </c>
    </row>
    <row r="2" spans="1:16" ht="40.799999999999997" thickBot="1" x14ac:dyDescent="0.35">
      <c r="A2" s="4" t="s">
        <v>58</v>
      </c>
      <c r="B2" s="4" t="s">
        <v>13</v>
      </c>
      <c r="C2" s="4" t="s">
        <v>201</v>
      </c>
      <c r="D2" s="4" t="s">
        <v>202</v>
      </c>
      <c r="E2" s="5">
        <v>34</v>
      </c>
      <c r="F2" s="4">
        <f>91-8273645510</f>
        <v>-8273645419</v>
      </c>
      <c r="G2" s="4" t="s">
        <v>203</v>
      </c>
      <c r="H2" s="6">
        <v>45058</v>
      </c>
      <c r="I2" s="5">
        <v>45</v>
      </c>
      <c r="J2" s="5">
        <v>4.82</v>
      </c>
      <c r="K2" s="4" t="s">
        <v>59</v>
      </c>
      <c r="L2" s="4" t="s">
        <v>29</v>
      </c>
      <c r="M2" s="5">
        <v>450.5</v>
      </c>
      <c r="N2" s="4" t="s">
        <v>30</v>
      </c>
      <c r="O2" s="4" t="s">
        <v>40</v>
      </c>
      <c r="P2" s="4" t="s">
        <v>204</v>
      </c>
    </row>
    <row r="3" spans="1:16" ht="40.799999999999997" thickBot="1" x14ac:dyDescent="0.35">
      <c r="A3" s="4" t="s">
        <v>50</v>
      </c>
      <c r="B3" s="4" t="s">
        <v>21</v>
      </c>
      <c r="C3" s="4" t="s">
        <v>205</v>
      </c>
      <c r="D3" s="4" t="s">
        <v>206</v>
      </c>
      <c r="E3" s="5">
        <v>28</v>
      </c>
      <c r="F3" s="4">
        <f>91-9123847560</f>
        <v>-9123847469</v>
      </c>
      <c r="G3" s="4" t="s">
        <v>207</v>
      </c>
      <c r="H3" s="6">
        <v>44946</v>
      </c>
      <c r="I3" s="5">
        <v>12</v>
      </c>
      <c r="J3" s="5">
        <v>4.1500000000000004</v>
      </c>
      <c r="K3" s="4" t="s">
        <v>32</v>
      </c>
      <c r="L3" s="4" t="s">
        <v>55</v>
      </c>
      <c r="M3" s="5">
        <v>50</v>
      </c>
      <c r="N3" s="4" t="s">
        <v>56</v>
      </c>
      <c r="O3" s="4" t="s">
        <v>48</v>
      </c>
      <c r="P3" s="4" t="s">
        <v>31</v>
      </c>
    </row>
    <row r="4" spans="1:16" ht="40.799999999999997" thickBot="1" x14ac:dyDescent="0.35">
      <c r="A4" s="4" t="s">
        <v>208</v>
      </c>
      <c r="B4" s="4" t="s">
        <v>27</v>
      </c>
      <c r="C4" s="4" t="s">
        <v>209</v>
      </c>
      <c r="D4" s="4" t="s">
        <v>202</v>
      </c>
      <c r="E4" s="5">
        <v>31</v>
      </c>
      <c r="F4" s="4">
        <f>91-8877665544</f>
        <v>-8877665453</v>
      </c>
      <c r="G4" s="4" t="s">
        <v>210</v>
      </c>
      <c r="H4" s="6">
        <v>45007</v>
      </c>
      <c r="I4" s="5">
        <v>88</v>
      </c>
      <c r="J4" s="5">
        <v>4.9000000000000004</v>
      </c>
      <c r="K4" s="4" t="s">
        <v>20</v>
      </c>
      <c r="L4" s="4" t="s">
        <v>211</v>
      </c>
      <c r="M4" s="5">
        <v>1200.75</v>
      </c>
      <c r="N4" s="4" t="s">
        <v>36</v>
      </c>
      <c r="O4" s="4" t="s">
        <v>45</v>
      </c>
      <c r="P4" s="4" t="s">
        <v>212</v>
      </c>
    </row>
    <row r="5" spans="1:16" ht="40.799999999999997" thickBot="1" x14ac:dyDescent="0.35">
      <c r="A5" s="4" t="s">
        <v>77</v>
      </c>
      <c r="B5" s="4" t="s">
        <v>33</v>
      </c>
      <c r="C5" s="4" t="s">
        <v>213</v>
      </c>
      <c r="D5" s="4" t="s">
        <v>206</v>
      </c>
      <c r="E5" s="5">
        <v>22</v>
      </c>
      <c r="F5" s="4">
        <f>91-7002938471</f>
        <v>-7002938380</v>
      </c>
      <c r="G5" s="4" t="s">
        <v>214</v>
      </c>
      <c r="H5" s="6">
        <v>45235</v>
      </c>
      <c r="I5" s="5">
        <v>5</v>
      </c>
      <c r="J5" s="5">
        <v>3.8</v>
      </c>
      <c r="K5" s="4" t="s">
        <v>26</v>
      </c>
      <c r="L5" s="4" t="s">
        <v>29</v>
      </c>
      <c r="M5" s="5">
        <v>15</v>
      </c>
      <c r="N5" s="4" t="s">
        <v>40</v>
      </c>
      <c r="O5" s="4" t="s">
        <v>51</v>
      </c>
      <c r="P5" s="4" t="s">
        <v>31</v>
      </c>
    </row>
    <row r="6" spans="1:16" ht="54" thickBot="1" x14ac:dyDescent="0.35">
      <c r="A6" s="4" t="s">
        <v>151</v>
      </c>
      <c r="B6" s="4" t="s">
        <v>37</v>
      </c>
      <c r="C6" s="4" t="s">
        <v>215</v>
      </c>
      <c r="D6" s="4" t="s">
        <v>202</v>
      </c>
      <c r="E6" s="5">
        <v>45</v>
      </c>
      <c r="F6" s="4">
        <f>91-9928374650</f>
        <v>-9928374559</v>
      </c>
      <c r="G6" s="4" t="s">
        <v>216</v>
      </c>
      <c r="H6" s="6">
        <v>45095</v>
      </c>
      <c r="I6" s="5">
        <v>124</v>
      </c>
      <c r="J6" s="5">
        <v>4.75</v>
      </c>
      <c r="K6" s="4" t="s">
        <v>59</v>
      </c>
      <c r="L6" s="4" t="s">
        <v>35</v>
      </c>
      <c r="M6" s="5">
        <v>890.2</v>
      </c>
      <c r="N6" s="4" t="s">
        <v>44</v>
      </c>
      <c r="O6" s="4" t="s">
        <v>16</v>
      </c>
      <c r="P6" s="4" t="s">
        <v>204</v>
      </c>
    </row>
    <row r="7" spans="1:16" ht="40.799999999999997" thickBot="1" x14ac:dyDescent="0.35">
      <c r="A7" s="4" t="s">
        <v>217</v>
      </c>
      <c r="B7" s="4" t="s">
        <v>42</v>
      </c>
      <c r="C7" s="4" t="s">
        <v>218</v>
      </c>
      <c r="D7" s="4" t="s">
        <v>206</v>
      </c>
      <c r="E7" s="5">
        <v>27</v>
      </c>
      <c r="F7" s="4">
        <f>91-8123344556</f>
        <v>-8123344465</v>
      </c>
      <c r="G7" s="4" t="s">
        <v>219</v>
      </c>
      <c r="H7" s="6">
        <v>45170</v>
      </c>
      <c r="I7" s="5">
        <v>32</v>
      </c>
      <c r="J7" s="5">
        <v>4.4000000000000004</v>
      </c>
      <c r="K7" s="4" t="s">
        <v>20</v>
      </c>
      <c r="L7" s="4" t="s">
        <v>39</v>
      </c>
      <c r="M7" s="5">
        <v>210</v>
      </c>
      <c r="N7" s="4" t="s">
        <v>45</v>
      </c>
      <c r="O7" s="4" t="s">
        <v>30</v>
      </c>
      <c r="P7" s="4" t="s">
        <v>31</v>
      </c>
    </row>
    <row r="8" spans="1:16" ht="40.799999999999997" thickBot="1" x14ac:dyDescent="0.35">
      <c r="A8" s="4" t="s">
        <v>72</v>
      </c>
      <c r="B8" s="4" t="s">
        <v>46</v>
      </c>
      <c r="C8" s="4" t="s">
        <v>220</v>
      </c>
      <c r="D8" s="4" t="s">
        <v>202</v>
      </c>
      <c r="E8" s="5">
        <v>35</v>
      </c>
      <c r="F8" s="4">
        <f>91-9845012345</f>
        <v>-9845012254</v>
      </c>
      <c r="G8" s="4" t="s">
        <v>221</v>
      </c>
      <c r="H8" s="6">
        <v>44971</v>
      </c>
      <c r="I8" s="5">
        <v>67</v>
      </c>
      <c r="J8" s="5">
        <v>4.5999999999999996</v>
      </c>
      <c r="K8" s="4" t="s">
        <v>26</v>
      </c>
      <c r="L8" s="4" t="s">
        <v>222</v>
      </c>
      <c r="M8" s="5">
        <v>0</v>
      </c>
      <c r="N8" s="4" t="s">
        <v>23</v>
      </c>
      <c r="O8" s="4" t="s">
        <v>36</v>
      </c>
      <c r="P8" s="4" t="s">
        <v>204</v>
      </c>
    </row>
    <row r="9" spans="1:16" ht="40.799999999999997" thickBot="1" x14ac:dyDescent="0.35">
      <c r="A9" s="4" t="s">
        <v>64</v>
      </c>
      <c r="B9" s="4" t="s">
        <v>49</v>
      </c>
      <c r="C9" s="4" t="s">
        <v>223</v>
      </c>
      <c r="D9" s="4" t="s">
        <v>206</v>
      </c>
      <c r="E9" s="5">
        <v>26</v>
      </c>
      <c r="F9" s="4">
        <f>91-7760123456</f>
        <v>-7760123365</v>
      </c>
      <c r="G9" s="4" t="s">
        <v>224</v>
      </c>
      <c r="H9" s="6">
        <v>45046</v>
      </c>
      <c r="I9" s="5">
        <v>19</v>
      </c>
      <c r="J9" s="5">
        <v>4.25</v>
      </c>
      <c r="K9" s="4" t="s">
        <v>32</v>
      </c>
      <c r="L9" s="4" t="s">
        <v>29</v>
      </c>
      <c r="M9" s="5">
        <v>120.4</v>
      </c>
      <c r="N9" s="4" t="s">
        <v>48</v>
      </c>
      <c r="O9" s="4" t="s">
        <v>56</v>
      </c>
      <c r="P9" s="4" t="s">
        <v>31</v>
      </c>
    </row>
    <row r="10" spans="1:16" ht="40.799999999999997" thickBot="1" x14ac:dyDescent="0.35">
      <c r="A10" s="4" t="s">
        <v>158</v>
      </c>
      <c r="B10" s="4" t="s">
        <v>52</v>
      </c>
      <c r="C10" s="4" t="s">
        <v>225</v>
      </c>
      <c r="D10" s="4" t="s">
        <v>202</v>
      </c>
      <c r="E10" s="5">
        <v>40</v>
      </c>
      <c r="F10" s="4">
        <f>91-9008123456</f>
        <v>-9008123365</v>
      </c>
      <c r="G10" s="4" t="s">
        <v>226</v>
      </c>
      <c r="H10" s="6">
        <v>45285</v>
      </c>
      <c r="I10" s="5">
        <v>150</v>
      </c>
      <c r="J10" s="5">
        <v>4.95</v>
      </c>
      <c r="K10" s="4" t="s">
        <v>59</v>
      </c>
      <c r="L10" s="4" t="s">
        <v>211</v>
      </c>
      <c r="M10" s="5">
        <v>1560</v>
      </c>
      <c r="N10" s="4" t="s">
        <v>16</v>
      </c>
      <c r="O10" s="4" t="s">
        <v>40</v>
      </c>
      <c r="P10" s="4" t="s">
        <v>212</v>
      </c>
    </row>
    <row r="11" spans="1:16" ht="40.799999999999997" thickBot="1" x14ac:dyDescent="0.35">
      <c r="A11" s="4" t="s">
        <v>66</v>
      </c>
      <c r="B11" s="4" t="s">
        <v>54</v>
      </c>
      <c r="C11" s="4" t="s">
        <v>227</v>
      </c>
      <c r="D11" s="4" t="s">
        <v>206</v>
      </c>
      <c r="E11" s="5">
        <v>23</v>
      </c>
      <c r="F11" s="4">
        <f>91-8050123456</f>
        <v>-8050123365</v>
      </c>
      <c r="G11" s="4" t="s">
        <v>228</v>
      </c>
      <c r="H11" s="6">
        <v>45114</v>
      </c>
      <c r="I11" s="5">
        <v>41</v>
      </c>
      <c r="J11" s="5">
        <v>4.3</v>
      </c>
      <c r="K11" s="4" t="s">
        <v>20</v>
      </c>
      <c r="L11" s="4" t="s">
        <v>55</v>
      </c>
      <c r="M11" s="5">
        <v>340.5</v>
      </c>
      <c r="N11" s="4" t="s">
        <v>51</v>
      </c>
      <c r="O11" s="4" t="s">
        <v>44</v>
      </c>
      <c r="P11" s="4" t="s">
        <v>204</v>
      </c>
    </row>
    <row r="12" spans="1:16" ht="40.799999999999997" thickBot="1" x14ac:dyDescent="0.35">
      <c r="A12" s="4" t="s">
        <v>85</v>
      </c>
      <c r="B12" s="4" t="s">
        <v>57</v>
      </c>
      <c r="C12" s="4" t="s">
        <v>229</v>
      </c>
      <c r="D12" s="4" t="s">
        <v>202</v>
      </c>
      <c r="E12" s="5">
        <v>29</v>
      </c>
      <c r="F12" s="4">
        <f>91-9234567890</f>
        <v>-9234567799</v>
      </c>
      <c r="G12" s="4" t="s">
        <v>230</v>
      </c>
      <c r="H12" s="6">
        <v>45153</v>
      </c>
      <c r="I12" s="5">
        <v>55</v>
      </c>
      <c r="J12" s="5">
        <v>4.7</v>
      </c>
      <c r="K12" s="4" t="s">
        <v>59</v>
      </c>
      <c r="L12" s="4" t="s">
        <v>29</v>
      </c>
      <c r="M12" s="5">
        <v>100</v>
      </c>
      <c r="N12" s="4" t="s">
        <v>30</v>
      </c>
      <c r="O12" s="4" t="s">
        <v>45</v>
      </c>
      <c r="P12" s="4" t="s">
        <v>204</v>
      </c>
    </row>
    <row r="13" spans="1:16" ht="40.799999999999997" thickBot="1" x14ac:dyDescent="0.35">
      <c r="A13" s="4" t="s">
        <v>113</v>
      </c>
      <c r="B13" s="4" t="s">
        <v>60</v>
      </c>
      <c r="C13" s="4" t="s">
        <v>231</v>
      </c>
      <c r="D13" s="4" t="s">
        <v>202</v>
      </c>
      <c r="E13" s="5">
        <v>33</v>
      </c>
      <c r="F13" s="4">
        <f>91-8147012345</f>
        <v>-8147012254</v>
      </c>
      <c r="G13" s="4" t="s">
        <v>232</v>
      </c>
      <c r="H13" s="6">
        <v>45051</v>
      </c>
      <c r="I13" s="5">
        <v>22</v>
      </c>
      <c r="J13" s="5">
        <v>4.0999999999999996</v>
      </c>
      <c r="K13" s="4" t="s">
        <v>32</v>
      </c>
      <c r="L13" s="4" t="s">
        <v>35</v>
      </c>
      <c r="M13" s="5">
        <v>0</v>
      </c>
      <c r="N13" s="4" t="s">
        <v>56</v>
      </c>
      <c r="O13" s="4" t="s">
        <v>36</v>
      </c>
      <c r="P13" s="4" t="s">
        <v>31</v>
      </c>
    </row>
    <row r="14" spans="1:16" ht="40.799999999999997" thickBot="1" x14ac:dyDescent="0.35">
      <c r="A14" s="4" t="s">
        <v>99</v>
      </c>
      <c r="B14" s="4" t="s">
        <v>62</v>
      </c>
      <c r="C14" s="4" t="s">
        <v>233</v>
      </c>
      <c r="D14" s="4" t="s">
        <v>206</v>
      </c>
      <c r="E14" s="5">
        <v>25</v>
      </c>
      <c r="F14" s="4">
        <f>91-9886012345</f>
        <v>-9886012254</v>
      </c>
      <c r="G14" s="4" t="s">
        <v>234</v>
      </c>
      <c r="H14" s="6">
        <v>44985</v>
      </c>
      <c r="I14" s="5">
        <v>75</v>
      </c>
      <c r="J14" s="5">
        <v>4.8499999999999996</v>
      </c>
      <c r="K14" s="4" t="s">
        <v>59</v>
      </c>
      <c r="L14" s="4" t="s">
        <v>222</v>
      </c>
      <c r="M14" s="5">
        <v>500</v>
      </c>
      <c r="N14" s="4" t="s">
        <v>40</v>
      </c>
      <c r="O14" s="4" t="s">
        <v>30</v>
      </c>
      <c r="P14" s="4" t="s">
        <v>212</v>
      </c>
    </row>
    <row r="15" spans="1:16" ht="54" thickBot="1" x14ac:dyDescent="0.35">
      <c r="A15" s="4" t="s">
        <v>22</v>
      </c>
      <c r="B15" s="4" t="s">
        <v>63</v>
      </c>
      <c r="C15" s="4" t="s">
        <v>235</v>
      </c>
      <c r="D15" s="4" t="s">
        <v>206</v>
      </c>
      <c r="E15" s="5">
        <v>30</v>
      </c>
      <c r="F15" s="4">
        <f>91-7022012345</f>
        <v>-7022012254</v>
      </c>
      <c r="G15" s="4" t="s">
        <v>236</v>
      </c>
      <c r="H15" s="6">
        <v>45181</v>
      </c>
      <c r="I15" s="5">
        <v>14</v>
      </c>
      <c r="J15" s="5">
        <v>4</v>
      </c>
      <c r="K15" s="4" t="s">
        <v>26</v>
      </c>
      <c r="L15" s="4" t="s">
        <v>39</v>
      </c>
      <c r="M15" s="5">
        <v>45</v>
      </c>
      <c r="N15" s="4" t="s">
        <v>48</v>
      </c>
      <c r="O15" s="4" t="s">
        <v>51</v>
      </c>
      <c r="P15" s="4" t="s">
        <v>31</v>
      </c>
    </row>
    <row r="16" spans="1:16" ht="40.799999999999997" thickBot="1" x14ac:dyDescent="0.35">
      <c r="A16" s="4" t="s">
        <v>90</v>
      </c>
      <c r="B16" s="4" t="s">
        <v>65</v>
      </c>
      <c r="C16" s="4" t="s">
        <v>237</v>
      </c>
      <c r="D16" s="4" t="s">
        <v>202</v>
      </c>
      <c r="E16" s="5">
        <v>42</v>
      </c>
      <c r="F16" s="4">
        <f>91-9141012345</f>
        <v>-9141012254</v>
      </c>
      <c r="G16" s="4" t="s">
        <v>238</v>
      </c>
      <c r="H16" s="6">
        <v>45034</v>
      </c>
      <c r="I16" s="5">
        <v>110</v>
      </c>
      <c r="J16" s="5">
        <v>4.6500000000000004</v>
      </c>
      <c r="K16" s="4" t="s">
        <v>20</v>
      </c>
      <c r="L16" s="4" t="s">
        <v>211</v>
      </c>
      <c r="M16" s="5">
        <v>2000</v>
      </c>
      <c r="N16" s="4" t="s">
        <v>23</v>
      </c>
      <c r="O16" s="4" t="s">
        <v>45</v>
      </c>
      <c r="P16" s="4" t="s">
        <v>204</v>
      </c>
    </row>
    <row r="17" spans="1:16" ht="40.799999999999997" thickBot="1" x14ac:dyDescent="0.35">
      <c r="A17" s="4" t="s">
        <v>83</v>
      </c>
      <c r="B17" s="4" t="s">
        <v>67</v>
      </c>
      <c r="C17" s="4" t="s">
        <v>239</v>
      </c>
      <c r="D17" s="4" t="s">
        <v>206</v>
      </c>
      <c r="E17" s="5">
        <v>24</v>
      </c>
      <c r="F17" s="4">
        <f>91-8050987654</f>
        <v>-8050987563</v>
      </c>
      <c r="G17" s="4" t="s">
        <v>240</v>
      </c>
      <c r="H17" s="6">
        <v>45250</v>
      </c>
      <c r="I17" s="5">
        <v>30</v>
      </c>
      <c r="J17" s="5">
        <v>4.4000000000000004</v>
      </c>
      <c r="K17" s="4" t="s">
        <v>59</v>
      </c>
      <c r="L17" s="4" t="s">
        <v>29</v>
      </c>
      <c r="M17" s="5">
        <v>150</v>
      </c>
      <c r="N17" s="4" t="s">
        <v>36</v>
      </c>
      <c r="O17" s="4" t="s">
        <v>16</v>
      </c>
      <c r="P17" s="4" t="s">
        <v>31</v>
      </c>
    </row>
    <row r="18" spans="1:16" ht="40.799999999999997" thickBot="1" x14ac:dyDescent="0.35">
      <c r="A18" s="4" t="s">
        <v>34</v>
      </c>
      <c r="B18" s="4" t="s">
        <v>69</v>
      </c>
      <c r="C18" s="4" t="s">
        <v>241</v>
      </c>
      <c r="D18" s="4" t="s">
        <v>202</v>
      </c>
      <c r="E18" s="5">
        <v>38</v>
      </c>
      <c r="F18" s="4">
        <f>91-9742012345</f>
        <v>-9742012254</v>
      </c>
      <c r="G18" s="4" t="s">
        <v>242</v>
      </c>
      <c r="H18" s="6">
        <v>45078</v>
      </c>
      <c r="I18" s="5">
        <v>95</v>
      </c>
      <c r="J18" s="5">
        <v>4.78</v>
      </c>
      <c r="K18" s="4" t="s">
        <v>26</v>
      </c>
      <c r="L18" s="4" t="s">
        <v>55</v>
      </c>
      <c r="M18" s="5">
        <v>720</v>
      </c>
      <c r="N18" s="4" t="s">
        <v>44</v>
      </c>
      <c r="O18" s="4" t="s">
        <v>23</v>
      </c>
      <c r="P18" s="4" t="s">
        <v>212</v>
      </c>
    </row>
    <row r="19" spans="1:16" ht="40.799999999999997" thickBot="1" x14ac:dyDescent="0.35">
      <c r="A19" s="4" t="s">
        <v>97</v>
      </c>
      <c r="B19" s="4" t="s">
        <v>71</v>
      </c>
      <c r="C19" s="4" t="s">
        <v>243</v>
      </c>
      <c r="D19" s="4" t="s">
        <v>206</v>
      </c>
      <c r="E19" s="5">
        <v>41</v>
      </c>
      <c r="F19" s="4">
        <f>91-8884012345</f>
        <v>-8884012254</v>
      </c>
      <c r="G19" s="4" t="s">
        <v>244</v>
      </c>
      <c r="H19" s="6">
        <v>45122</v>
      </c>
      <c r="I19" s="5">
        <v>48</v>
      </c>
      <c r="J19" s="5">
        <v>4.3499999999999996</v>
      </c>
      <c r="K19" s="4" t="s">
        <v>32</v>
      </c>
      <c r="L19" s="4" t="s">
        <v>35</v>
      </c>
      <c r="M19" s="5">
        <v>50.5</v>
      </c>
      <c r="N19" s="4" t="s">
        <v>16</v>
      </c>
      <c r="O19" s="4" t="s">
        <v>56</v>
      </c>
      <c r="P19" s="4" t="s">
        <v>204</v>
      </c>
    </row>
    <row r="20" spans="1:16" ht="40.799999999999997" thickBot="1" x14ac:dyDescent="0.35">
      <c r="A20" s="4" t="s">
        <v>68</v>
      </c>
      <c r="B20" s="4" t="s">
        <v>73</v>
      </c>
      <c r="C20" s="4" t="s">
        <v>245</v>
      </c>
      <c r="D20" s="4" t="s">
        <v>202</v>
      </c>
      <c r="E20" s="5">
        <v>36</v>
      </c>
      <c r="F20" s="4">
        <f>91-9164012345</f>
        <v>-9164012254</v>
      </c>
      <c r="G20" s="4" t="s">
        <v>246</v>
      </c>
      <c r="H20" s="6">
        <v>45224</v>
      </c>
      <c r="I20" s="5">
        <v>18</v>
      </c>
      <c r="J20" s="5">
        <v>4.2</v>
      </c>
      <c r="K20" s="4" t="s">
        <v>20</v>
      </c>
      <c r="L20" s="4" t="s">
        <v>39</v>
      </c>
      <c r="M20" s="5">
        <v>10</v>
      </c>
      <c r="N20" s="4" t="s">
        <v>51</v>
      </c>
      <c r="O20" s="4" t="s">
        <v>40</v>
      </c>
      <c r="P20" s="4" t="s">
        <v>31</v>
      </c>
    </row>
    <row r="21" spans="1:16" ht="40.799999999999997" thickBot="1" x14ac:dyDescent="0.35">
      <c r="A21" s="4" t="s">
        <v>111</v>
      </c>
      <c r="B21" s="4" t="s">
        <v>75</v>
      </c>
      <c r="C21" s="4" t="s">
        <v>247</v>
      </c>
      <c r="D21" s="4" t="s">
        <v>206</v>
      </c>
      <c r="E21" s="5">
        <v>32</v>
      </c>
      <c r="F21" s="4">
        <f>91-7259012345</f>
        <v>-7259012254</v>
      </c>
      <c r="G21" s="4" t="s">
        <v>248</v>
      </c>
      <c r="H21" s="6">
        <v>44936</v>
      </c>
      <c r="I21" s="5">
        <v>60</v>
      </c>
      <c r="J21" s="5">
        <v>4.55</v>
      </c>
      <c r="K21" s="4" t="s">
        <v>59</v>
      </c>
      <c r="L21" s="4" t="s">
        <v>222</v>
      </c>
      <c r="M21" s="5">
        <v>315</v>
      </c>
      <c r="N21" s="4" t="s">
        <v>45</v>
      </c>
      <c r="O21" s="4" t="s">
        <v>48</v>
      </c>
      <c r="P21" s="4" t="s">
        <v>204</v>
      </c>
    </row>
    <row r="22" spans="1:16" ht="40.799999999999997" thickBot="1" x14ac:dyDescent="0.35">
      <c r="A22" s="4" t="s">
        <v>109</v>
      </c>
      <c r="B22" s="4" t="s">
        <v>76</v>
      </c>
      <c r="C22" s="4" t="s">
        <v>249</v>
      </c>
      <c r="D22" s="4" t="s">
        <v>202</v>
      </c>
      <c r="E22" s="5">
        <v>26</v>
      </c>
      <c r="F22" s="4">
        <f>91-8277012345</f>
        <v>-8277012254</v>
      </c>
      <c r="G22" s="4" t="s">
        <v>250</v>
      </c>
      <c r="H22" s="6">
        <v>44990</v>
      </c>
      <c r="I22" s="5">
        <v>102</v>
      </c>
      <c r="J22" s="5">
        <v>4.92</v>
      </c>
      <c r="K22" s="4" t="s">
        <v>26</v>
      </c>
      <c r="L22" s="4" t="s">
        <v>29</v>
      </c>
      <c r="M22" s="5">
        <v>1100</v>
      </c>
      <c r="N22" s="4" t="s">
        <v>30</v>
      </c>
      <c r="O22" s="4" t="s">
        <v>44</v>
      </c>
      <c r="P22" s="4" t="s">
        <v>212</v>
      </c>
    </row>
    <row r="23" spans="1:16" ht="54" thickBot="1" x14ac:dyDescent="0.35">
      <c r="A23" s="4" t="s">
        <v>92</v>
      </c>
      <c r="B23" s="4" t="s">
        <v>79</v>
      </c>
      <c r="C23" s="4" t="s">
        <v>251</v>
      </c>
      <c r="D23" s="4" t="s">
        <v>206</v>
      </c>
      <c r="E23" s="5">
        <v>29</v>
      </c>
      <c r="F23" s="4">
        <f>91-9900012345</f>
        <v>-9900012254</v>
      </c>
      <c r="G23" s="4" t="s">
        <v>252</v>
      </c>
      <c r="H23" s="6">
        <v>45158</v>
      </c>
      <c r="I23" s="5">
        <v>37</v>
      </c>
      <c r="J23" s="5">
        <v>4.45</v>
      </c>
      <c r="K23" s="4" t="s">
        <v>59</v>
      </c>
      <c r="L23" s="4" t="s">
        <v>55</v>
      </c>
      <c r="M23" s="5">
        <v>225</v>
      </c>
      <c r="N23" s="4" t="s">
        <v>56</v>
      </c>
      <c r="O23" s="4" t="s">
        <v>51</v>
      </c>
      <c r="P23" s="4" t="s">
        <v>204</v>
      </c>
    </row>
    <row r="24" spans="1:16" ht="54" thickBot="1" x14ac:dyDescent="0.35">
      <c r="A24" s="4" t="s">
        <v>253</v>
      </c>
      <c r="B24" s="4" t="s">
        <v>80</v>
      </c>
      <c r="C24" s="4" t="s">
        <v>254</v>
      </c>
      <c r="D24" s="4" t="s">
        <v>202</v>
      </c>
      <c r="E24" s="5">
        <v>30</v>
      </c>
      <c r="F24" s="4">
        <f>91-7019012345</f>
        <v>-7019012254</v>
      </c>
      <c r="G24" s="4" t="s">
        <v>255</v>
      </c>
      <c r="H24" s="6">
        <v>45261</v>
      </c>
      <c r="I24" s="5">
        <v>11</v>
      </c>
      <c r="J24" s="5">
        <v>3.9</v>
      </c>
      <c r="K24" s="4" t="s">
        <v>32</v>
      </c>
      <c r="L24" s="4" t="s">
        <v>211</v>
      </c>
      <c r="M24" s="5">
        <v>0</v>
      </c>
      <c r="N24" s="4" t="s">
        <v>40</v>
      </c>
      <c r="O24" s="4" t="s">
        <v>23</v>
      </c>
      <c r="P24" s="4" t="s">
        <v>31</v>
      </c>
    </row>
    <row r="25" spans="1:16" ht="54" thickBot="1" x14ac:dyDescent="0.35">
      <c r="A25" s="4" t="s">
        <v>117</v>
      </c>
      <c r="B25" s="4" t="s">
        <v>81</v>
      </c>
      <c r="C25" s="4" t="s">
        <v>256</v>
      </c>
      <c r="D25" s="4" t="s">
        <v>206</v>
      </c>
      <c r="E25" s="5">
        <v>34</v>
      </c>
      <c r="F25" s="4">
        <f>91-9448012345</f>
        <v>-9448012254</v>
      </c>
      <c r="G25" s="4" t="s">
        <v>257</v>
      </c>
      <c r="H25" s="6">
        <v>45061</v>
      </c>
      <c r="I25" s="5">
        <v>52</v>
      </c>
      <c r="J25" s="5">
        <v>4.5</v>
      </c>
      <c r="K25" s="4" t="s">
        <v>20</v>
      </c>
      <c r="L25" s="4" t="s">
        <v>29</v>
      </c>
      <c r="M25" s="5">
        <v>85</v>
      </c>
      <c r="N25" s="4" t="s">
        <v>48</v>
      </c>
      <c r="O25" s="4" t="s">
        <v>30</v>
      </c>
      <c r="P25" s="4" t="s">
        <v>204</v>
      </c>
    </row>
    <row r="26" spans="1:16" ht="40.799999999999997" thickBot="1" x14ac:dyDescent="0.35">
      <c r="A26" s="4" t="s">
        <v>143</v>
      </c>
      <c r="B26" s="4" t="s">
        <v>82</v>
      </c>
      <c r="C26" s="4" t="s">
        <v>258</v>
      </c>
      <c r="D26" s="4" t="s">
        <v>202</v>
      </c>
      <c r="E26" s="5">
        <v>39</v>
      </c>
      <c r="F26" s="4">
        <f>91-9945012345</f>
        <v>-9945012254</v>
      </c>
      <c r="G26" s="4" t="s">
        <v>259</v>
      </c>
      <c r="H26" s="6">
        <v>45107</v>
      </c>
      <c r="I26" s="5">
        <v>81</v>
      </c>
      <c r="J26" s="5">
        <v>4.68</v>
      </c>
      <c r="K26" s="4" t="s">
        <v>59</v>
      </c>
      <c r="L26" s="4" t="s">
        <v>35</v>
      </c>
      <c r="M26" s="5">
        <v>540</v>
      </c>
      <c r="N26" s="4" t="s">
        <v>36</v>
      </c>
      <c r="O26" s="4" t="s">
        <v>44</v>
      </c>
      <c r="P26" s="4" t="s">
        <v>212</v>
      </c>
    </row>
    <row r="27" spans="1:16" ht="40.799999999999997" thickBot="1" x14ac:dyDescent="0.35">
      <c r="A27" s="4" t="s">
        <v>61</v>
      </c>
      <c r="B27" s="4" t="s">
        <v>84</v>
      </c>
      <c r="C27" s="4" t="s">
        <v>260</v>
      </c>
      <c r="D27" s="4" t="s">
        <v>206</v>
      </c>
      <c r="E27" s="5">
        <v>27</v>
      </c>
      <c r="F27" s="4">
        <f>91-8095012345</f>
        <v>-8095012254</v>
      </c>
      <c r="G27" s="4" t="s">
        <v>261</v>
      </c>
      <c r="H27" s="6">
        <v>45132</v>
      </c>
      <c r="I27" s="5">
        <v>25</v>
      </c>
      <c r="J27" s="5">
        <v>4.28</v>
      </c>
      <c r="K27" s="4" t="s">
        <v>26</v>
      </c>
      <c r="L27" s="4" t="s">
        <v>39</v>
      </c>
      <c r="M27" s="5">
        <v>120</v>
      </c>
      <c r="N27" s="4" t="s">
        <v>44</v>
      </c>
      <c r="O27" s="4" t="s">
        <v>56</v>
      </c>
      <c r="P27" s="4" t="s">
        <v>31</v>
      </c>
    </row>
    <row r="28" spans="1:16" ht="40.799999999999997" thickBot="1" x14ac:dyDescent="0.35">
      <c r="A28" s="4" t="s">
        <v>262</v>
      </c>
      <c r="B28" s="4" t="s">
        <v>86</v>
      </c>
      <c r="C28" s="4" t="s">
        <v>263</v>
      </c>
      <c r="D28" s="4" t="s">
        <v>202</v>
      </c>
      <c r="E28" s="5">
        <v>32</v>
      </c>
      <c r="F28" s="4">
        <f>91-9123456781</f>
        <v>-9123456690</v>
      </c>
      <c r="G28" s="4" t="s">
        <v>264</v>
      </c>
      <c r="H28" s="6">
        <v>44967</v>
      </c>
      <c r="I28" s="5">
        <v>63</v>
      </c>
      <c r="J28" s="5">
        <v>4.62</v>
      </c>
      <c r="K28" s="4" t="s">
        <v>59</v>
      </c>
      <c r="L28" s="4" t="s">
        <v>222</v>
      </c>
      <c r="M28" s="5">
        <v>290</v>
      </c>
      <c r="N28" s="4" t="s">
        <v>45</v>
      </c>
      <c r="O28" s="4" t="s">
        <v>40</v>
      </c>
      <c r="P28" s="4" t="s">
        <v>204</v>
      </c>
    </row>
    <row r="29" spans="1:16" ht="40.799999999999997" thickBot="1" x14ac:dyDescent="0.35">
      <c r="A29" s="4" t="s">
        <v>87</v>
      </c>
      <c r="B29" s="4" t="s">
        <v>89</v>
      </c>
      <c r="C29" s="4" t="s">
        <v>265</v>
      </c>
      <c r="D29" s="4" t="s">
        <v>206</v>
      </c>
      <c r="E29" s="5">
        <v>25</v>
      </c>
      <c r="F29" s="4">
        <f>91-7760123981</f>
        <v>-7760123890</v>
      </c>
      <c r="G29" s="4" t="s">
        <v>266</v>
      </c>
      <c r="H29" s="6">
        <v>45245</v>
      </c>
      <c r="I29" s="5">
        <v>44</v>
      </c>
      <c r="J29" s="5">
        <v>4.4800000000000004</v>
      </c>
      <c r="K29" s="4" t="s">
        <v>32</v>
      </c>
      <c r="L29" s="4" t="s">
        <v>29</v>
      </c>
      <c r="M29" s="5">
        <v>65</v>
      </c>
      <c r="N29" s="4" t="s">
        <v>16</v>
      </c>
      <c r="O29" s="4" t="s">
        <v>51</v>
      </c>
      <c r="P29" s="4" t="s">
        <v>31</v>
      </c>
    </row>
    <row r="30" spans="1:16" ht="40.799999999999997" thickBot="1" x14ac:dyDescent="0.35">
      <c r="A30" s="4" t="s">
        <v>155</v>
      </c>
      <c r="B30" s="4" t="s">
        <v>91</v>
      </c>
      <c r="C30" s="4" t="s">
        <v>267</v>
      </c>
      <c r="D30" s="4" t="s">
        <v>202</v>
      </c>
      <c r="E30" s="5">
        <v>44</v>
      </c>
      <c r="F30" s="4">
        <f>91-9008123981</f>
        <v>-9008123890</v>
      </c>
      <c r="G30" s="4" t="s">
        <v>268</v>
      </c>
      <c r="H30" s="6">
        <v>45021</v>
      </c>
      <c r="I30" s="5">
        <v>135</v>
      </c>
      <c r="J30" s="5">
        <v>4.9800000000000004</v>
      </c>
      <c r="K30" s="4" t="s">
        <v>20</v>
      </c>
      <c r="L30" s="4" t="s">
        <v>211</v>
      </c>
      <c r="M30" s="5">
        <v>1800</v>
      </c>
      <c r="N30" s="4" t="s">
        <v>51</v>
      </c>
      <c r="O30" s="4" t="s">
        <v>23</v>
      </c>
      <c r="P30" s="4" t="s">
        <v>212</v>
      </c>
    </row>
    <row r="31" spans="1:16" ht="40.799999999999997" thickBot="1" x14ac:dyDescent="0.35">
      <c r="A31" s="4" t="s">
        <v>147</v>
      </c>
      <c r="B31" s="4" t="s">
        <v>93</v>
      </c>
      <c r="C31" s="4" t="s">
        <v>269</v>
      </c>
      <c r="D31" s="4" t="s">
        <v>206</v>
      </c>
      <c r="E31" s="5">
        <v>26</v>
      </c>
      <c r="F31" s="4">
        <f>91-8050123981</f>
        <v>-8050123890</v>
      </c>
      <c r="G31" s="4" t="s">
        <v>270</v>
      </c>
      <c r="H31" s="6">
        <v>45189</v>
      </c>
      <c r="I31" s="5">
        <v>39</v>
      </c>
      <c r="J31" s="5">
        <v>4.38</v>
      </c>
      <c r="K31" s="4" t="s">
        <v>59</v>
      </c>
      <c r="L31" s="4" t="s">
        <v>55</v>
      </c>
      <c r="M31" s="5">
        <v>145.5</v>
      </c>
      <c r="N31" s="4" t="s">
        <v>23</v>
      </c>
      <c r="O31" s="4" t="s">
        <v>36</v>
      </c>
      <c r="P31" s="4" t="s">
        <v>204</v>
      </c>
    </row>
    <row r="32" spans="1:16" ht="54" thickBot="1" x14ac:dyDescent="0.35">
      <c r="A32" s="4" t="s">
        <v>271</v>
      </c>
      <c r="B32" s="4" t="s">
        <v>95</v>
      </c>
      <c r="C32" s="4" t="s">
        <v>272</v>
      </c>
      <c r="D32" s="4" t="s">
        <v>202</v>
      </c>
      <c r="E32" s="5">
        <v>35</v>
      </c>
      <c r="F32" s="4">
        <f>91-9234567881</f>
        <v>-9234567790</v>
      </c>
      <c r="G32" s="4" t="s">
        <v>273</v>
      </c>
      <c r="H32" s="6">
        <v>45139</v>
      </c>
      <c r="I32" s="5">
        <v>77</v>
      </c>
      <c r="J32" s="5">
        <v>4.75</v>
      </c>
      <c r="K32" s="4" t="s">
        <v>26</v>
      </c>
      <c r="L32" s="4" t="s">
        <v>29</v>
      </c>
      <c r="M32" s="5">
        <v>890</v>
      </c>
      <c r="N32" s="4" t="s">
        <v>30</v>
      </c>
      <c r="O32" s="4" t="s">
        <v>48</v>
      </c>
      <c r="P32" s="4" t="s">
        <v>212</v>
      </c>
    </row>
    <row r="33" spans="1:16" ht="40.799999999999997" thickBot="1" x14ac:dyDescent="0.35">
      <c r="A33" s="4" t="s">
        <v>28</v>
      </c>
      <c r="B33" s="4" t="s">
        <v>96</v>
      </c>
      <c r="C33" s="4" t="s">
        <v>274</v>
      </c>
      <c r="D33" s="4" t="s">
        <v>202</v>
      </c>
      <c r="E33" s="5">
        <v>29</v>
      </c>
      <c r="F33" s="4">
        <f>91-8147012381</f>
        <v>-8147012290</v>
      </c>
      <c r="G33" s="4" t="s">
        <v>275</v>
      </c>
      <c r="H33" s="6">
        <v>45214</v>
      </c>
      <c r="I33" s="5">
        <v>21</v>
      </c>
      <c r="J33" s="5">
        <v>4.12</v>
      </c>
      <c r="K33" s="4" t="s">
        <v>32</v>
      </c>
      <c r="L33" s="4" t="s">
        <v>35</v>
      </c>
      <c r="M33" s="5">
        <v>25</v>
      </c>
      <c r="N33" s="4" t="s">
        <v>56</v>
      </c>
      <c r="O33" s="4" t="s">
        <v>45</v>
      </c>
      <c r="P33" s="4" t="s">
        <v>31</v>
      </c>
    </row>
    <row r="34" spans="1:16" ht="40.799999999999997" thickBot="1" x14ac:dyDescent="0.35">
      <c r="A34" s="4" t="s">
        <v>47</v>
      </c>
      <c r="B34" s="4" t="s">
        <v>98</v>
      </c>
      <c r="C34" s="4" t="s">
        <v>276</v>
      </c>
      <c r="D34" s="4" t="s">
        <v>206</v>
      </c>
      <c r="E34" s="5">
        <v>24</v>
      </c>
      <c r="F34" s="4">
        <f>91-9886012381</f>
        <v>-9886012290</v>
      </c>
      <c r="G34" s="4" t="s">
        <v>277</v>
      </c>
      <c r="H34" s="6">
        <v>44951</v>
      </c>
      <c r="I34" s="5">
        <v>54</v>
      </c>
      <c r="J34" s="5">
        <v>4.58</v>
      </c>
      <c r="K34" s="4" t="s">
        <v>59</v>
      </c>
      <c r="L34" s="4" t="s">
        <v>222</v>
      </c>
      <c r="M34" s="5">
        <v>420</v>
      </c>
      <c r="N34" s="4" t="s">
        <v>40</v>
      </c>
      <c r="O34" s="4" t="s">
        <v>16</v>
      </c>
      <c r="P34" s="4" t="s">
        <v>204</v>
      </c>
    </row>
    <row r="35" spans="1:16" ht="54" thickBot="1" x14ac:dyDescent="0.35">
      <c r="A35" s="4" t="s">
        <v>14</v>
      </c>
      <c r="B35" s="4" t="s">
        <v>100</v>
      </c>
      <c r="C35" s="4" t="s">
        <v>278</v>
      </c>
      <c r="D35" s="4" t="s">
        <v>206</v>
      </c>
      <c r="E35" s="5">
        <v>30</v>
      </c>
      <c r="F35" s="4">
        <f>91-7022012381</f>
        <v>-7022012290</v>
      </c>
      <c r="G35" s="4" t="s">
        <v>279</v>
      </c>
      <c r="H35" s="6">
        <v>45270</v>
      </c>
      <c r="I35" s="5">
        <v>16</v>
      </c>
      <c r="J35" s="5">
        <v>4.05</v>
      </c>
      <c r="K35" s="4" t="s">
        <v>20</v>
      </c>
      <c r="L35" s="4" t="s">
        <v>39</v>
      </c>
      <c r="M35" s="5">
        <v>0</v>
      </c>
      <c r="N35" s="4" t="s">
        <v>48</v>
      </c>
      <c r="O35" s="4" t="s">
        <v>30</v>
      </c>
      <c r="P35" s="4" t="s">
        <v>31</v>
      </c>
    </row>
    <row r="36" spans="1:16" ht="40.799999999999997" thickBot="1" x14ac:dyDescent="0.35">
      <c r="A36" s="4" t="s">
        <v>280</v>
      </c>
      <c r="B36" s="4" t="s">
        <v>101</v>
      </c>
      <c r="C36" s="4" t="s">
        <v>281</v>
      </c>
      <c r="D36" s="4" t="s">
        <v>202</v>
      </c>
      <c r="E36" s="5">
        <v>41</v>
      </c>
      <c r="F36" s="4">
        <f>91-9141012381</f>
        <v>-9141012290</v>
      </c>
      <c r="G36" s="4" t="s">
        <v>282</v>
      </c>
      <c r="H36" s="6">
        <v>44997</v>
      </c>
      <c r="I36" s="5">
        <v>118</v>
      </c>
      <c r="J36" s="5">
        <v>4.88</v>
      </c>
      <c r="K36" s="4" t="s">
        <v>59</v>
      </c>
      <c r="L36" s="4" t="s">
        <v>211</v>
      </c>
      <c r="M36" s="5">
        <v>2100</v>
      </c>
      <c r="N36" s="4" t="s">
        <v>36</v>
      </c>
      <c r="O36" s="4" t="s">
        <v>40</v>
      </c>
      <c r="P36" s="4" t="s">
        <v>212</v>
      </c>
    </row>
    <row r="37" spans="1:16" ht="40.799999999999997" thickBot="1" x14ac:dyDescent="0.35">
      <c r="A37" s="4" t="s">
        <v>38</v>
      </c>
      <c r="B37" s="4" t="s">
        <v>102</v>
      </c>
      <c r="C37" s="4" t="s">
        <v>283</v>
      </c>
      <c r="D37" s="4" t="s">
        <v>206</v>
      </c>
      <c r="E37" s="5">
        <v>23</v>
      </c>
      <c r="F37" s="4">
        <f>91-8050987981</f>
        <v>-8050987890</v>
      </c>
      <c r="G37" s="4" t="s">
        <v>284</v>
      </c>
      <c r="H37" s="6">
        <v>45066</v>
      </c>
      <c r="I37" s="5">
        <v>28</v>
      </c>
      <c r="J37" s="5">
        <v>4.32</v>
      </c>
      <c r="K37" s="4" t="s">
        <v>26</v>
      </c>
      <c r="L37" s="4" t="s">
        <v>29</v>
      </c>
      <c r="M37" s="5">
        <v>75</v>
      </c>
      <c r="N37" s="4" t="s">
        <v>44</v>
      </c>
      <c r="O37" s="4" t="s">
        <v>51</v>
      </c>
      <c r="P37" s="4" t="s">
        <v>31</v>
      </c>
    </row>
    <row r="38" spans="1:16" ht="54" thickBot="1" x14ac:dyDescent="0.35">
      <c r="A38" s="4" t="s">
        <v>106</v>
      </c>
      <c r="B38" s="4" t="s">
        <v>103</v>
      </c>
      <c r="C38" s="4" t="s">
        <v>285</v>
      </c>
      <c r="D38" s="4" t="s">
        <v>202</v>
      </c>
      <c r="E38" s="5">
        <v>37</v>
      </c>
      <c r="F38" s="4">
        <f>91-9742012381</f>
        <v>-9742012290</v>
      </c>
      <c r="G38" s="4" t="s">
        <v>286</v>
      </c>
      <c r="H38" s="6">
        <v>45102</v>
      </c>
      <c r="I38" s="5">
        <v>84</v>
      </c>
      <c r="J38" s="5">
        <v>4.72</v>
      </c>
      <c r="K38" s="4" t="s">
        <v>59</v>
      </c>
      <c r="L38" s="4" t="s">
        <v>55</v>
      </c>
      <c r="M38" s="5">
        <v>630</v>
      </c>
      <c r="N38" s="4" t="s">
        <v>16</v>
      </c>
      <c r="O38" s="4" t="s">
        <v>23</v>
      </c>
      <c r="P38" s="4" t="s">
        <v>204</v>
      </c>
    </row>
    <row r="39" spans="1:16" ht="40.799999999999997" thickBot="1" x14ac:dyDescent="0.35">
      <c r="A39" s="4" t="s">
        <v>287</v>
      </c>
      <c r="B39" s="4" t="s">
        <v>105</v>
      </c>
      <c r="C39" s="4" t="s">
        <v>288</v>
      </c>
      <c r="D39" s="4" t="s">
        <v>206</v>
      </c>
      <c r="E39" s="5">
        <v>40</v>
      </c>
      <c r="F39" s="4">
        <f>91-8884012381</f>
        <v>-8884012290</v>
      </c>
      <c r="G39" s="4" t="s">
        <v>289</v>
      </c>
      <c r="H39" s="6">
        <v>45137</v>
      </c>
      <c r="I39" s="5">
        <v>43</v>
      </c>
      <c r="J39" s="5">
        <v>4.3099999999999996</v>
      </c>
      <c r="K39" s="4" t="s">
        <v>32</v>
      </c>
      <c r="L39" s="4" t="s">
        <v>35</v>
      </c>
      <c r="M39" s="5">
        <v>12</v>
      </c>
      <c r="N39" s="4" t="s">
        <v>51</v>
      </c>
      <c r="O39" s="4" t="s">
        <v>56</v>
      </c>
      <c r="P39" s="4" t="s">
        <v>31</v>
      </c>
    </row>
    <row r="40" spans="1:16" ht="40.799999999999997" thickBot="1" x14ac:dyDescent="0.35">
      <c r="A40" s="4" t="s">
        <v>119</v>
      </c>
      <c r="B40" s="4" t="s">
        <v>107</v>
      </c>
      <c r="C40" s="4" t="s">
        <v>290</v>
      </c>
      <c r="D40" s="4" t="s">
        <v>202</v>
      </c>
      <c r="E40" s="5">
        <v>35</v>
      </c>
      <c r="F40" s="4">
        <f>91-9164012381</f>
        <v>-9164012290</v>
      </c>
      <c r="G40" s="4" t="s">
        <v>291</v>
      </c>
      <c r="H40" s="6">
        <v>45231</v>
      </c>
      <c r="I40" s="5">
        <v>15</v>
      </c>
      <c r="J40" s="5">
        <v>4.18</v>
      </c>
      <c r="K40" s="4" t="s">
        <v>20</v>
      </c>
      <c r="L40" s="4" t="s">
        <v>39</v>
      </c>
      <c r="M40" s="5">
        <v>5</v>
      </c>
      <c r="N40" s="4" t="s">
        <v>23</v>
      </c>
      <c r="O40" s="4" t="s">
        <v>30</v>
      </c>
      <c r="P40" s="4" t="s">
        <v>31</v>
      </c>
    </row>
    <row r="41" spans="1:16" ht="40.799999999999997" thickBot="1" x14ac:dyDescent="0.35">
      <c r="A41" s="4" t="s">
        <v>185</v>
      </c>
      <c r="B41" s="4" t="s">
        <v>108</v>
      </c>
      <c r="C41" s="4" t="s">
        <v>292</v>
      </c>
      <c r="D41" s="4" t="s">
        <v>206</v>
      </c>
      <c r="E41" s="5">
        <v>31</v>
      </c>
      <c r="F41" s="4">
        <f>91-7259012381</f>
        <v>-7259012290</v>
      </c>
      <c r="G41" s="4" t="s">
        <v>293</v>
      </c>
      <c r="H41" s="6">
        <v>44972</v>
      </c>
      <c r="I41" s="5">
        <v>58</v>
      </c>
      <c r="J41" s="5">
        <v>4.5199999999999996</v>
      </c>
      <c r="K41" s="4" t="s">
        <v>59</v>
      </c>
      <c r="L41" s="4" t="s">
        <v>222</v>
      </c>
      <c r="M41" s="5">
        <v>280</v>
      </c>
      <c r="N41" s="4" t="s">
        <v>45</v>
      </c>
      <c r="O41" s="4" t="s">
        <v>36</v>
      </c>
      <c r="P41" s="4" t="s">
        <v>204</v>
      </c>
    </row>
    <row r="42" spans="1:16" ht="40.799999999999997" thickBot="1" x14ac:dyDescent="0.35">
      <c r="A42" s="4" t="s">
        <v>294</v>
      </c>
      <c r="B42" s="4" t="s">
        <v>110</v>
      </c>
      <c r="C42" s="4" t="s">
        <v>295</v>
      </c>
      <c r="D42" s="4" t="s">
        <v>202</v>
      </c>
      <c r="E42" s="5">
        <v>27</v>
      </c>
      <c r="F42" s="4">
        <f>91-8277012381</f>
        <v>-8277012290</v>
      </c>
      <c r="G42" s="4" t="s">
        <v>296</v>
      </c>
      <c r="H42" s="6">
        <v>45026</v>
      </c>
      <c r="I42" s="5">
        <v>92</v>
      </c>
      <c r="J42" s="5">
        <v>4.8499999999999996</v>
      </c>
      <c r="K42" s="4" t="s">
        <v>26</v>
      </c>
      <c r="L42" s="4" t="s">
        <v>29</v>
      </c>
      <c r="M42" s="5">
        <v>950</v>
      </c>
      <c r="N42" s="4" t="s">
        <v>30</v>
      </c>
      <c r="O42" s="4" t="s">
        <v>16</v>
      </c>
      <c r="P42" s="4" t="s">
        <v>212</v>
      </c>
    </row>
    <row r="43" spans="1:16" ht="40.799999999999997" thickBot="1" x14ac:dyDescent="0.35">
      <c r="A43" s="4" t="s">
        <v>134</v>
      </c>
      <c r="B43" s="4" t="s">
        <v>112</v>
      </c>
      <c r="C43" s="4" t="s">
        <v>297</v>
      </c>
      <c r="D43" s="4" t="s">
        <v>206</v>
      </c>
      <c r="E43" s="5">
        <v>28</v>
      </c>
      <c r="F43" s="4">
        <f>91-9900012381</f>
        <v>-9900012290</v>
      </c>
      <c r="G43" s="4" t="s">
        <v>298</v>
      </c>
      <c r="H43" s="6">
        <v>45174</v>
      </c>
      <c r="I43" s="5">
        <v>33</v>
      </c>
      <c r="J43" s="5">
        <v>4.41</v>
      </c>
      <c r="K43" s="4" t="s">
        <v>59</v>
      </c>
      <c r="L43" s="4" t="s">
        <v>55</v>
      </c>
      <c r="M43" s="5">
        <v>185</v>
      </c>
      <c r="N43" s="4" t="s">
        <v>56</v>
      </c>
      <c r="O43" s="4" t="s">
        <v>40</v>
      </c>
      <c r="P43" s="4" t="s">
        <v>204</v>
      </c>
    </row>
    <row r="44" spans="1:16" ht="54" thickBot="1" x14ac:dyDescent="0.35">
      <c r="A44" s="4" t="s">
        <v>145</v>
      </c>
      <c r="B44" s="4" t="s">
        <v>114</v>
      </c>
      <c r="C44" s="4" t="s">
        <v>299</v>
      </c>
      <c r="D44" s="4" t="s">
        <v>202</v>
      </c>
      <c r="E44" s="5">
        <v>31</v>
      </c>
      <c r="F44" s="4">
        <f>91-7019012381</f>
        <v>-7019012290</v>
      </c>
      <c r="G44" s="4" t="s">
        <v>300</v>
      </c>
      <c r="H44" s="6">
        <v>45275</v>
      </c>
      <c r="I44" s="5">
        <v>10</v>
      </c>
      <c r="J44" s="5">
        <v>3.88</v>
      </c>
      <c r="K44" s="4" t="s">
        <v>32</v>
      </c>
      <c r="L44" s="4" t="s">
        <v>211</v>
      </c>
      <c r="M44" s="5">
        <v>0</v>
      </c>
      <c r="N44" s="4" t="s">
        <v>40</v>
      </c>
      <c r="O44" s="4" t="s">
        <v>44</v>
      </c>
      <c r="P44" s="4" t="s">
        <v>31</v>
      </c>
    </row>
    <row r="45" spans="1:16" ht="40.799999999999997" thickBot="1" x14ac:dyDescent="0.35">
      <c r="A45" s="4" t="s">
        <v>121</v>
      </c>
      <c r="B45" s="4" t="s">
        <v>115</v>
      </c>
      <c r="C45" s="4" t="s">
        <v>301</v>
      </c>
      <c r="D45" s="4" t="s">
        <v>206</v>
      </c>
      <c r="E45" s="5">
        <v>33</v>
      </c>
      <c r="F45" s="4">
        <f>91-9448012381</f>
        <v>-9448012290</v>
      </c>
      <c r="G45" s="4" t="s">
        <v>302</v>
      </c>
      <c r="H45" s="6">
        <v>45097</v>
      </c>
      <c r="I45" s="5">
        <v>49</v>
      </c>
      <c r="J45" s="5">
        <v>4.4800000000000004</v>
      </c>
      <c r="K45" s="4" t="s">
        <v>20</v>
      </c>
      <c r="L45" s="4" t="s">
        <v>29</v>
      </c>
      <c r="M45" s="5">
        <v>60</v>
      </c>
      <c r="N45" s="4" t="s">
        <v>48</v>
      </c>
      <c r="O45" s="4" t="s">
        <v>45</v>
      </c>
      <c r="P45" s="4" t="s">
        <v>204</v>
      </c>
    </row>
    <row r="46" spans="1:16" ht="40.799999999999997" thickBot="1" x14ac:dyDescent="0.35">
      <c r="A46" s="4" t="s">
        <v>138</v>
      </c>
      <c r="B46" s="4" t="s">
        <v>116</v>
      </c>
      <c r="C46" s="4" t="s">
        <v>303</v>
      </c>
      <c r="D46" s="4" t="s">
        <v>202</v>
      </c>
      <c r="E46" s="5">
        <v>38</v>
      </c>
      <c r="F46" s="4">
        <f>91-9945012381</f>
        <v>-9945012290</v>
      </c>
      <c r="G46" s="4" t="s">
        <v>304</v>
      </c>
      <c r="H46" s="6">
        <v>45163</v>
      </c>
      <c r="I46" s="5">
        <v>74</v>
      </c>
      <c r="J46" s="5">
        <v>4.6500000000000004</v>
      </c>
      <c r="K46" s="4" t="s">
        <v>59</v>
      </c>
      <c r="L46" s="4" t="s">
        <v>35</v>
      </c>
      <c r="M46" s="5">
        <v>490</v>
      </c>
      <c r="N46" s="4" t="s">
        <v>36</v>
      </c>
      <c r="O46" s="4" t="s">
        <v>51</v>
      </c>
      <c r="P46" s="4" t="s">
        <v>212</v>
      </c>
    </row>
    <row r="47" spans="1:16" ht="54" thickBot="1" x14ac:dyDescent="0.35">
      <c r="A47" s="4" t="s">
        <v>94</v>
      </c>
      <c r="B47" s="4" t="s">
        <v>118</v>
      </c>
      <c r="C47" s="4" t="s">
        <v>305</v>
      </c>
      <c r="D47" s="4" t="s">
        <v>206</v>
      </c>
      <c r="E47" s="5">
        <v>26</v>
      </c>
      <c r="F47" s="4">
        <f>91-8095012381</f>
        <v>-8095012290</v>
      </c>
      <c r="G47" s="4" t="s">
        <v>306</v>
      </c>
      <c r="H47" s="6">
        <v>45015</v>
      </c>
      <c r="I47" s="5">
        <v>22</v>
      </c>
      <c r="J47" s="5">
        <v>4.25</v>
      </c>
      <c r="K47" s="4" t="s">
        <v>26</v>
      </c>
      <c r="L47" s="4" t="s">
        <v>39</v>
      </c>
      <c r="M47" s="5">
        <v>100</v>
      </c>
      <c r="N47" s="4" t="s">
        <v>44</v>
      </c>
      <c r="O47" s="4" t="s">
        <v>23</v>
      </c>
      <c r="P47" s="4" t="s">
        <v>31</v>
      </c>
    </row>
    <row r="48" spans="1:16" ht="40.799999999999997" thickBot="1" x14ac:dyDescent="0.35">
      <c r="A48" s="4" t="s">
        <v>74</v>
      </c>
      <c r="B48" s="4" t="s">
        <v>120</v>
      </c>
      <c r="C48" s="4" t="s">
        <v>307</v>
      </c>
      <c r="D48" s="4" t="s">
        <v>202</v>
      </c>
      <c r="E48" s="5">
        <v>33</v>
      </c>
      <c r="F48" s="4">
        <f>91-9123456771</f>
        <v>-9123456680</v>
      </c>
      <c r="G48" s="4" t="s">
        <v>308</v>
      </c>
      <c r="H48" s="6">
        <v>45047</v>
      </c>
      <c r="I48" s="5">
        <v>57</v>
      </c>
      <c r="J48" s="5">
        <v>4.58</v>
      </c>
      <c r="K48" s="4" t="s">
        <v>59</v>
      </c>
      <c r="L48" s="4" t="s">
        <v>222</v>
      </c>
      <c r="M48" s="5">
        <v>250</v>
      </c>
      <c r="N48" s="4" t="s">
        <v>45</v>
      </c>
      <c r="O48" s="4" t="s">
        <v>30</v>
      </c>
      <c r="P48" s="4" t="s">
        <v>204</v>
      </c>
    </row>
    <row r="49" spans="1:16" ht="54" thickBot="1" x14ac:dyDescent="0.35">
      <c r="A49" s="4" t="s">
        <v>162</v>
      </c>
      <c r="B49" s="4" t="s">
        <v>122</v>
      </c>
      <c r="C49" s="4" t="s">
        <v>309</v>
      </c>
      <c r="D49" s="4" t="s">
        <v>206</v>
      </c>
      <c r="E49" s="5">
        <v>24</v>
      </c>
      <c r="F49" s="4">
        <f>91-7760123971</f>
        <v>-7760123880</v>
      </c>
      <c r="G49" s="4" t="s">
        <v>310</v>
      </c>
      <c r="H49" s="6">
        <v>45255</v>
      </c>
      <c r="I49" s="5">
        <v>41</v>
      </c>
      <c r="J49" s="5">
        <v>4.45</v>
      </c>
      <c r="K49" s="4" t="s">
        <v>32</v>
      </c>
      <c r="L49" s="4" t="s">
        <v>29</v>
      </c>
      <c r="M49" s="5">
        <v>40</v>
      </c>
      <c r="N49" s="4" t="s">
        <v>16</v>
      </c>
      <c r="O49" s="4" t="s">
        <v>48</v>
      </c>
      <c r="P49" s="4" t="s">
        <v>31</v>
      </c>
    </row>
    <row r="50" spans="1:16" ht="40.799999999999997" thickBot="1" x14ac:dyDescent="0.35">
      <c r="A50" s="4" t="s">
        <v>104</v>
      </c>
      <c r="B50" s="4" t="s">
        <v>123</v>
      </c>
      <c r="C50" s="4" t="s">
        <v>311</v>
      </c>
      <c r="D50" s="4" t="s">
        <v>202</v>
      </c>
      <c r="E50" s="5">
        <v>43</v>
      </c>
      <c r="F50" s="4">
        <f>91-9008123971</f>
        <v>-9008123880</v>
      </c>
      <c r="G50" s="4" t="s">
        <v>312</v>
      </c>
      <c r="H50" s="6">
        <v>44931</v>
      </c>
      <c r="I50" s="5">
        <v>128</v>
      </c>
      <c r="J50" s="5">
        <v>4.95</v>
      </c>
      <c r="K50" s="4" t="s">
        <v>20</v>
      </c>
      <c r="L50" s="4" t="s">
        <v>211</v>
      </c>
      <c r="M50" s="5">
        <v>1600</v>
      </c>
      <c r="N50" s="4" t="s">
        <v>51</v>
      </c>
      <c r="O50" s="4" t="s">
        <v>56</v>
      </c>
      <c r="P50" s="4" t="s">
        <v>212</v>
      </c>
    </row>
    <row r="51" spans="1:16" ht="54" thickBot="1" x14ac:dyDescent="0.35">
      <c r="A51" s="4" t="s">
        <v>43</v>
      </c>
      <c r="B51" s="4" t="s">
        <v>124</v>
      </c>
      <c r="C51" s="4" t="s">
        <v>313</v>
      </c>
      <c r="D51" s="4" t="s">
        <v>206</v>
      </c>
      <c r="E51" s="5">
        <v>25</v>
      </c>
      <c r="F51" s="4">
        <f>91-8050123971</f>
        <v>-8050123880</v>
      </c>
      <c r="G51" s="4" t="s">
        <v>314</v>
      </c>
      <c r="H51" s="6">
        <v>45127</v>
      </c>
      <c r="I51" s="5">
        <v>36</v>
      </c>
      <c r="J51" s="5">
        <v>4.3499999999999996</v>
      </c>
      <c r="K51" s="4" t="s">
        <v>59</v>
      </c>
      <c r="L51" s="4" t="s">
        <v>55</v>
      </c>
      <c r="M51" s="5">
        <v>115.5</v>
      </c>
      <c r="N51" s="4" t="s">
        <v>23</v>
      </c>
      <c r="O51" s="4" t="s">
        <v>40</v>
      </c>
      <c r="P51" s="4" t="s">
        <v>204</v>
      </c>
    </row>
    <row r="52" spans="1:16" ht="54" thickBot="1" x14ac:dyDescent="0.35">
      <c r="A52" s="4" t="s">
        <v>315</v>
      </c>
      <c r="B52" s="4" t="s">
        <v>125</v>
      </c>
      <c r="C52" s="4" t="s">
        <v>316</v>
      </c>
      <c r="D52" s="4" t="s">
        <v>202</v>
      </c>
      <c r="E52" s="5">
        <v>34</v>
      </c>
      <c r="F52" s="4">
        <f>91-9234567871</f>
        <v>-9234567780</v>
      </c>
      <c r="G52" s="4" t="s">
        <v>317</v>
      </c>
      <c r="H52" s="6">
        <v>45148</v>
      </c>
      <c r="I52" s="5">
        <v>68</v>
      </c>
      <c r="J52" s="5">
        <v>4.7</v>
      </c>
      <c r="K52" s="4" t="s">
        <v>26</v>
      </c>
      <c r="L52" s="4" t="s">
        <v>29</v>
      </c>
      <c r="M52" s="5">
        <v>780</v>
      </c>
      <c r="N52" s="4" t="s">
        <v>30</v>
      </c>
      <c r="O52" s="4" t="s">
        <v>36</v>
      </c>
      <c r="P52" s="4" t="s">
        <v>212</v>
      </c>
    </row>
    <row r="53" spans="1:16" ht="40.799999999999997" thickBot="1" x14ac:dyDescent="0.35">
      <c r="A53" s="4" t="s">
        <v>318</v>
      </c>
      <c r="B53" s="4" t="s">
        <v>126</v>
      </c>
      <c r="C53" s="4" t="s">
        <v>319</v>
      </c>
      <c r="D53" s="4" t="s">
        <v>202</v>
      </c>
      <c r="E53" s="5">
        <v>28</v>
      </c>
      <c r="F53" s="4">
        <f>91-8147012371</f>
        <v>-8147012280</v>
      </c>
      <c r="G53" s="4" t="s">
        <v>320</v>
      </c>
      <c r="H53" s="6">
        <v>45280</v>
      </c>
      <c r="I53" s="5">
        <v>19</v>
      </c>
      <c r="J53" s="5">
        <v>4.0999999999999996</v>
      </c>
      <c r="K53" s="4" t="s">
        <v>32</v>
      </c>
      <c r="L53" s="4" t="s">
        <v>35</v>
      </c>
      <c r="M53" s="5">
        <v>15</v>
      </c>
      <c r="N53" s="4" t="s">
        <v>56</v>
      </c>
      <c r="O53" s="4" t="s">
        <v>16</v>
      </c>
      <c r="P53" s="4" t="s">
        <v>31</v>
      </c>
    </row>
    <row r="54" spans="1:16" ht="40.799999999999997" thickBot="1" x14ac:dyDescent="0.35">
      <c r="A54" s="4" t="s">
        <v>321</v>
      </c>
      <c r="B54" s="4" t="s">
        <v>127</v>
      </c>
      <c r="C54" s="4" t="s">
        <v>322</v>
      </c>
      <c r="D54" s="4" t="s">
        <v>206</v>
      </c>
      <c r="E54" s="5">
        <v>23</v>
      </c>
      <c r="F54" s="4">
        <f>91-9886012371</f>
        <v>-9886012280</v>
      </c>
      <c r="G54" s="4" t="s">
        <v>323</v>
      </c>
      <c r="H54" s="6">
        <v>44962</v>
      </c>
      <c r="I54" s="5">
        <v>49</v>
      </c>
      <c r="J54" s="5">
        <v>4.55</v>
      </c>
      <c r="K54" s="4" t="s">
        <v>59</v>
      </c>
      <c r="L54" s="4" t="s">
        <v>222</v>
      </c>
      <c r="M54" s="5">
        <v>380</v>
      </c>
      <c r="N54" s="4" t="s">
        <v>40</v>
      </c>
      <c r="O54" s="4" t="s">
        <v>51</v>
      </c>
      <c r="P54" s="4" t="s">
        <v>204</v>
      </c>
    </row>
    <row r="55" spans="1:16" ht="54" thickBot="1" x14ac:dyDescent="0.35">
      <c r="A55" s="4" t="s">
        <v>324</v>
      </c>
      <c r="B55" s="4" t="s">
        <v>128</v>
      </c>
      <c r="C55" s="4" t="s">
        <v>325</v>
      </c>
      <c r="D55" s="4" t="s">
        <v>206</v>
      </c>
      <c r="E55" s="5">
        <v>29</v>
      </c>
      <c r="F55" s="4">
        <f>91-7022012371</f>
        <v>-7022012280</v>
      </c>
      <c r="G55" s="4" t="s">
        <v>326</v>
      </c>
      <c r="H55" s="6">
        <v>45240</v>
      </c>
      <c r="I55" s="5">
        <v>14</v>
      </c>
      <c r="J55" s="5">
        <v>4.0199999999999996</v>
      </c>
      <c r="K55" s="4" t="s">
        <v>20</v>
      </c>
      <c r="L55" s="4" t="s">
        <v>39</v>
      </c>
      <c r="M55" s="5">
        <v>0</v>
      </c>
      <c r="N55" s="4" t="s">
        <v>48</v>
      </c>
      <c r="O55" s="4" t="s">
        <v>23</v>
      </c>
      <c r="P55" s="4" t="s">
        <v>31</v>
      </c>
    </row>
    <row r="56" spans="1:16" ht="40.799999999999997" thickBot="1" x14ac:dyDescent="0.35">
      <c r="A56" s="4" t="s">
        <v>327</v>
      </c>
      <c r="B56" s="4" t="s">
        <v>129</v>
      </c>
      <c r="C56" s="4" t="s">
        <v>328</v>
      </c>
      <c r="D56" s="4" t="s">
        <v>202</v>
      </c>
      <c r="E56" s="5">
        <v>40</v>
      </c>
      <c r="F56" s="4">
        <f>91-9141012371</f>
        <v>-9141012280</v>
      </c>
      <c r="G56" s="4" t="s">
        <v>329</v>
      </c>
      <c r="H56" s="6">
        <v>45028</v>
      </c>
      <c r="I56" s="5">
        <v>109</v>
      </c>
      <c r="J56" s="5">
        <v>4.8499999999999996</v>
      </c>
      <c r="K56" s="4" t="s">
        <v>59</v>
      </c>
      <c r="L56" s="4" t="s">
        <v>211</v>
      </c>
      <c r="M56" s="5">
        <v>1900</v>
      </c>
      <c r="N56" s="4" t="s">
        <v>36</v>
      </c>
      <c r="O56" s="4" t="s">
        <v>45</v>
      </c>
      <c r="P56" s="4" t="s">
        <v>212</v>
      </c>
    </row>
    <row r="57" spans="1:16" ht="40.799999999999997" thickBot="1" x14ac:dyDescent="0.35">
      <c r="A57" s="4" t="s">
        <v>330</v>
      </c>
      <c r="B57" s="4" t="s">
        <v>130</v>
      </c>
      <c r="C57" s="4" t="s">
        <v>331</v>
      </c>
      <c r="D57" s="4" t="s">
        <v>206</v>
      </c>
      <c r="E57" s="5">
        <v>22</v>
      </c>
      <c r="F57" s="4">
        <f>91-8050987971</f>
        <v>-8050987880</v>
      </c>
      <c r="G57" s="4" t="s">
        <v>332</v>
      </c>
      <c r="H57" s="6">
        <v>45071</v>
      </c>
      <c r="I57" s="5">
        <v>26</v>
      </c>
      <c r="J57" s="5">
        <v>4.28</v>
      </c>
      <c r="K57" s="4" t="s">
        <v>26</v>
      </c>
      <c r="L57" s="4" t="s">
        <v>29</v>
      </c>
      <c r="M57" s="5">
        <v>50</v>
      </c>
      <c r="N57" s="4" t="s">
        <v>44</v>
      </c>
      <c r="O57" s="4" t="s">
        <v>40</v>
      </c>
      <c r="P57" s="4" t="s">
        <v>31</v>
      </c>
    </row>
    <row r="58" spans="1:16" ht="40.799999999999997" thickBot="1" x14ac:dyDescent="0.35">
      <c r="A58" s="4" t="s">
        <v>333</v>
      </c>
      <c r="B58" s="4" t="s">
        <v>131</v>
      </c>
      <c r="C58" s="4" t="s">
        <v>334</v>
      </c>
      <c r="D58" s="4" t="s">
        <v>202</v>
      </c>
      <c r="E58" s="5">
        <v>36</v>
      </c>
      <c r="F58" s="4">
        <f>91-9742012371</f>
        <v>-9742012280</v>
      </c>
      <c r="G58" s="4" t="s">
        <v>335</v>
      </c>
      <c r="H58" s="6">
        <v>45194</v>
      </c>
      <c r="I58" s="5">
        <v>78</v>
      </c>
      <c r="J58" s="5">
        <v>4.68</v>
      </c>
      <c r="K58" s="4" t="s">
        <v>59</v>
      </c>
      <c r="L58" s="4" t="s">
        <v>55</v>
      </c>
      <c r="M58" s="5">
        <v>590</v>
      </c>
      <c r="N58" s="4" t="s">
        <v>16</v>
      </c>
      <c r="O58" s="4" t="s">
        <v>30</v>
      </c>
      <c r="P58" s="4" t="s">
        <v>204</v>
      </c>
    </row>
    <row r="59" spans="1:16" ht="54" thickBot="1" x14ac:dyDescent="0.35">
      <c r="A59" s="4" t="s">
        <v>336</v>
      </c>
      <c r="B59" s="4" t="s">
        <v>132</v>
      </c>
      <c r="C59" s="4" t="s">
        <v>337</v>
      </c>
      <c r="D59" s="4" t="s">
        <v>206</v>
      </c>
      <c r="E59" s="5">
        <v>39</v>
      </c>
      <c r="F59" s="4">
        <f>91-8884012371</f>
        <v>-8884012280</v>
      </c>
      <c r="G59" s="4" t="s">
        <v>338</v>
      </c>
      <c r="H59" s="6">
        <v>45229</v>
      </c>
      <c r="I59" s="5">
        <v>39</v>
      </c>
      <c r="J59" s="5">
        <v>4.28</v>
      </c>
      <c r="K59" s="4" t="s">
        <v>32</v>
      </c>
      <c r="L59" s="4" t="s">
        <v>35</v>
      </c>
      <c r="M59" s="5">
        <v>10</v>
      </c>
      <c r="N59" s="4" t="s">
        <v>51</v>
      </c>
      <c r="O59" s="4" t="s">
        <v>36</v>
      </c>
      <c r="P59" s="4" t="s">
        <v>31</v>
      </c>
    </row>
    <row r="60" spans="1:16" ht="40.799999999999997" thickBot="1" x14ac:dyDescent="0.35">
      <c r="A60" s="4" t="s">
        <v>339</v>
      </c>
      <c r="B60" s="4" t="s">
        <v>133</v>
      </c>
      <c r="C60" s="4" t="s">
        <v>340</v>
      </c>
      <c r="D60" s="4" t="s">
        <v>202</v>
      </c>
      <c r="E60" s="5">
        <v>34</v>
      </c>
      <c r="F60" s="4">
        <f>91-9164012371</f>
        <v>-9164012280</v>
      </c>
      <c r="G60" s="4" t="s">
        <v>341</v>
      </c>
      <c r="H60" s="6">
        <v>45261</v>
      </c>
      <c r="I60" s="5">
        <v>13</v>
      </c>
      <c r="J60" s="5">
        <v>4.1500000000000004</v>
      </c>
      <c r="K60" s="4" t="s">
        <v>20</v>
      </c>
      <c r="L60" s="4" t="s">
        <v>39</v>
      </c>
      <c r="M60" s="5">
        <v>0</v>
      </c>
      <c r="N60" s="4" t="s">
        <v>23</v>
      </c>
      <c r="O60" s="4" t="s">
        <v>48</v>
      </c>
      <c r="P60" s="4" t="s">
        <v>31</v>
      </c>
    </row>
    <row r="61" spans="1:16" ht="54" thickBot="1" x14ac:dyDescent="0.35">
      <c r="A61" s="4" t="s">
        <v>342</v>
      </c>
      <c r="B61" s="4" t="s">
        <v>135</v>
      </c>
      <c r="C61" s="4" t="s">
        <v>343</v>
      </c>
      <c r="D61" s="4" t="s">
        <v>206</v>
      </c>
      <c r="E61" s="5">
        <v>30</v>
      </c>
      <c r="F61" s="4">
        <f>91-7259012371</f>
        <v>-7259012280</v>
      </c>
      <c r="G61" s="4" t="s">
        <v>344</v>
      </c>
      <c r="H61" s="6">
        <v>45000</v>
      </c>
      <c r="I61" s="5">
        <v>52</v>
      </c>
      <c r="J61" s="5">
        <v>4.4800000000000004</v>
      </c>
      <c r="K61" s="4" t="s">
        <v>59</v>
      </c>
      <c r="L61" s="4" t="s">
        <v>222</v>
      </c>
      <c r="M61" s="5">
        <v>250</v>
      </c>
      <c r="N61" s="4" t="s">
        <v>45</v>
      </c>
      <c r="O61" s="4" t="s">
        <v>56</v>
      </c>
      <c r="P61" s="4" t="s">
        <v>204</v>
      </c>
    </row>
    <row r="62" spans="1:16" ht="40.799999999999997" thickBot="1" x14ac:dyDescent="0.35">
      <c r="A62" s="4" t="s">
        <v>345</v>
      </c>
      <c r="B62" s="4" t="s">
        <v>137</v>
      </c>
      <c r="C62" s="4" t="s">
        <v>249</v>
      </c>
      <c r="D62" s="4" t="s">
        <v>202</v>
      </c>
      <c r="E62" s="5">
        <v>26</v>
      </c>
      <c r="F62" s="4">
        <f>91-8277012371</f>
        <v>-8277012280</v>
      </c>
      <c r="G62" s="4" t="s">
        <v>250</v>
      </c>
      <c r="H62" s="6">
        <v>45087</v>
      </c>
      <c r="I62" s="5">
        <v>87</v>
      </c>
      <c r="J62" s="5">
        <v>4.82</v>
      </c>
      <c r="K62" s="4" t="s">
        <v>26</v>
      </c>
      <c r="L62" s="4" t="s">
        <v>29</v>
      </c>
      <c r="M62" s="5">
        <v>850</v>
      </c>
      <c r="N62" s="4" t="s">
        <v>30</v>
      </c>
      <c r="O62" s="4" t="s">
        <v>40</v>
      </c>
      <c r="P62" s="4" t="s">
        <v>212</v>
      </c>
    </row>
    <row r="63" spans="1:16" ht="54" thickBot="1" x14ac:dyDescent="0.35">
      <c r="A63" s="4" t="s">
        <v>346</v>
      </c>
      <c r="B63" s="4" t="s">
        <v>139</v>
      </c>
      <c r="C63" s="4" t="s">
        <v>347</v>
      </c>
      <c r="D63" s="4" t="s">
        <v>206</v>
      </c>
      <c r="E63" s="5">
        <v>27</v>
      </c>
      <c r="F63" s="4">
        <f>91-9900012371</f>
        <v>-9900012280</v>
      </c>
      <c r="G63" s="4" t="s">
        <v>348</v>
      </c>
      <c r="H63" s="6">
        <v>44931</v>
      </c>
      <c r="I63" s="5">
        <v>29</v>
      </c>
      <c r="J63" s="5">
        <v>4.38</v>
      </c>
      <c r="K63" s="4" t="s">
        <v>59</v>
      </c>
      <c r="L63" s="4" t="s">
        <v>55</v>
      </c>
      <c r="M63" s="5">
        <v>155</v>
      </c>
      <c r="N63" s="4" t="s">
        <v>56</v>
      </c>
      <c r="O63" s="4" t="s">
        <v>23</v>
      </c>
      <c r="P63" s="4" t="s">
        <v>204</v>
      </c>
    </row>
    <row r="64" spans="1:16" ht="40.799999999999997" thickBot="1" x14ac:dyDescent="0.35">
      <c r="A64" s="4" t="s">
        <v>349</v>
      </c>
      <c r="B64" s="4" t="s">
        <v>140</v>
      </c>
      <c r="C64" s="4" t="s">
        <v>350</v>
      </c>
      <c r="D64" s="4" t="s">
        <v>202</v>
      </c>
      <c r="E64" s="5">
        <v>30</v>
      </c>
      <c r="F64" s="4">
        <f>91-7019012371</f>
        <v>-7019012280</v>
      </c>
      <c r="G64" s="4" t="s">
        <v>351</v>
      </c>
      <c r="H64" s="6">
        <v>45245</v>
      </c>
      <c r="I64" s="5">
        <v>8</v>
      </c>
      <c r="J64" s="5">
        <v>3.82</v>
      </c>
      <c r="K64" s="4" t="s">
        <v>32</v>
      </c>
      <c r="L64" s="4" t="s">
        <v>211</v>
      </c>
      <c r="M64" s="5">
        <v>0</v>
      </c>
      <c r="N64" s="4" t="s">
        <v>40</v>
      </c>
      <c r="O64" s="4" t="s">
        <v>16</v>
      </c>
      <c r="P64" s="4" t="s">
        <v>31</v>
      </c>
    </row>
    <row r="65" spans="1:16" ht="40.799999999999997" thickBot="1" x14ac:dyDescent="0.35">
      <c r="A65" s="4" t="s">
        <v>352</v>
      </c>
      <c r="B65" s="4" t="s">
        <v>141</v>
      </c>
      <c r="C65" s="4" t="s">
        <v>353</v>
      </c>
      <c r="D65" s="4" t="s">
        <v>206</v>
      </c>
      <c r="E65" s="5">
        <v>32</v>
      </c>
      <c r="F65" s="4">
        <f>91-9448012371</f>
        <v>-9448012280</v>
      </c>
      <c r="G65" s="4" t="s">
        <v>354</v>
      </c>
      <c r="H65" s="6">
        <v>45158</v>
      </c>
      <c r="I65" s="5">
        <v>44</v>
      </c>
      <c r="J65" s="5">
        <v>4.42</v>
      </c>
      <c r="K65" s="4" t="s">
        <v>20</v>
      </c>
      <c r="L65" s="4" t="s">
        <v>29</v>
      </c>
      <c r="M65" s="5">
        <v>45</v>
      </c>
      <c r="N65" s="4" t="s">
        <v>48</v>
      </c>
      <c r="O65" s="4" t="s">
        <v>44</v>
      </c>
      <c r="P65" s="4" t="s">
        <v>204</v>
      </c>
    </row>
    <row r="66" spans="1:16" ht="40.799999999999997" thickBot="1" x14ac:dyDescent="0.35">
      <c r="A66" s="4" t="s">
        <v>355</v>
      </c>
      <c r="B66" s="4" t="s">
        <v>142</v>
      </c>
      <c r="C66" s="4" t="s">
        <v>356</v>
      </c>
      <c r="D66" s="4" t="s">
        <v>202</v>
      </c>
      <c r="E66" s="5">
        <v>37</v>
      </c>
      <c r="F66" s="4">
        <f>91-9945012371</f>
        <v>-9945012280</v>
      </c>
      <c r="G66" s="4" t="s">
        <v>357</v>
      </c>
      <c r="H66" s="6">
        <v>45224</v>
      </c>
      <c r="I66" s="5">
        <v>68</v>
      </c>
      <c r="J66" s="5">
        <v>4.62</v>
      </c>
      <c r="K66" s="4" t="s">
        <v>59</v>
      </c>
      <c r="L66" s="4" t="s">
        <v>35</v>
      </c>
      <c r="M66" s="5">
        <v>450</v>
      </c>
      <c r="N66" s="4" t="s">
        <v>36</v>
      </c>
      <c r="O66" s="4" t="s">
        <v>56</v>
      </c>
      <c r="P66" s="4" t="s">
        <v>212</v>
      </c>
    </row>
    <row r="67" spans="1:16" ht="40.799999999999997" thickBot="1" x14ac:dyDescent="0.35">
      <c r="A67" s="4" t="s">
        <v>358</v>
      </c>
      <c r="B67" s="4" t="s">
        <v>144</v>
      </c>
      <c r="C67" s="4" t="s">
        <v>359</v>
      </c>
      <c r="D67" s="4" t="s">
        <v>206</v>
      </c>
      <c r="E67" s="5">
        <v>25</v>
      </c>
      <c r="F67" s="4">
        <f>91-8095012371</f>
        <v>-8095012280</v>
      </c>
      <c r="G67" s="4" t="s">
        <v>360</v>
      </c>
      <c r="H67" s="6">
        <v>45076</v>
      </c>
      <c r="I67" s="5">
        <v>18</v>
      </c>
      <c r="J67" s="5">
        <v>4.2</v>
      </c>
      <c r="K67" s="4" t="s">
        <v>26</v>
      </c>
      <c r="L67" s="4" t="s">
        <v>39</v>
      </c>
      <c r="M67" s="5">
        <v>80</v>
      </c>
      <c r="N67" s="4" t="s">
        <v>44</v>
      </c>
      <c r="O67" s="4" t="s">
        <v>45</v>
      </c>
      <c r="P67" s="4" t="s">
        <v>31</v>
      </c>
    </row>
    <row r="68" spans="1:16" ht="54" thickBot="1" x14ac:dyDescent="0.35">
      <c r="A68" s="4" t="s">
        <v>361</v>
      </c>
      <c r="B68" s="4" t="s">
        <v>146</v>
      </c>
      <c r="C68" s="4" t="s">
        <v>362</v>
      </c>
      <c r="D68" s="4" t="s">
        <v>202</v>
      </c>
      <c r="E68" s="5">
        <v>32</v>
      </c>
      <c r="F68" s="4">
        <f>91-9123456761</f>
        <v>-9123456670</v>
      </c>
      <c r="G68" s="4" t="s">
        <v>363</v>
      </c>
      <c r="H68" s="6">
        <v>45017</v>
      </c>
      <c r="I68" s="5">
        <v>52</v>
      </c>
      <c r="J68" s="5">
        <v>4.5199999999999996</v>
      </c>
      <c r="K68" s="4" t="s">
        <v>59</v>
      </c>
      <c r="L68" s="4" t="s">
        <v>222</v>
      </c>
      <c r="M68" s="5">
        <v>220</v>
      </c>
      <c r="N68" s="4" t="s">
        <v>45</v>
      </c>
      <c r="O68" s="4" t="s">
        <v>51</v>
      </c>
      <c r="P68" s="4" t="s">
        <v>204</v>
      </c>
    </row>
    <row r="69" spans="1:16" ht="40.799999999999997" thickBot="1" x14ac:dyDescent="0.35">
      <c r="A69" s="4" t="s">
        <v>364</v>
      </c>
      <c r="B69" s="4" t="s">
        <v>148</v>
      </c>
      <c r="C69" s="4" t="s">
        <v>365</v>
      </c>
      <c r="D69" s="4" t="s">
        <v>206</v>
      </c>
      <c r="E69" s="5">
        <v>23</v>
      </c>
      <c r="F69" s="4">
        <f>91-7760123961</f>
        <v>-7760123870</v>
      </c>
      <c r="G69" s="4" t="s">
        <v>366</v>
      </c>
      <c r="H69" s="6">
        <v>45285</v>
      </c>
      <c r="I69" s="5">
        <v>38</v>
      </c>
      <c r="J69" s="5">
        <v>4.4000000000000004</v>
      </c>
      <c r="K69" s="4" t="s">
        <v>32</v>
      </c>
      <c r="L69" s="4" t="s">
        <v>29</v>
      </c>
      <c r="M69" s="5">
        <v>30</v>
      </c>
      <c r="N69" s="4" t="s">
        <v>16</v>
      </c>
      <c r="O69" s="4" t="s">
        <v>30</v>
      </c>
      <c r="P69" s="4" t="s">
        <v>31</v>
      </c>
    </row>
    <row r="70" spans="1:16" ht="40.799999999999997" thickBot="1" x14ac:dyDescent="0.35">
      <c r="A70" s="4" t="s">
        <v>367</v>
      </c>
      <c r="B70" s="4" t="s">
        <v>149</v>
      </c>
      <c r="C70" s="4" t="s">
        <v>368</v>
      </c>
      <c r="D70" s="4" t="s">
        <v>202</v>
      </c>
      <c r="E70" s="5">
        <v>42</v>
      </c>
      <c r="F70" s="4">
        <f>91-9008123961</f>
        <v>-9008123870</v>
      </c>
      <c r="G70" s="4" t="s">
        <v>369</v>
      </c>
      <c r="H70" s="6">
        <v>44962</v>
      </c>
      <c r="I70" s="5">
        <v>120</v>
      </c>
      <c r="J70" s="5">
        <v>4.92</v>
      </c>
      <c r="K70" s="4" t="s">
        <v>20</v>
      </c>
      <c r="L70" s="4" t="s">
        <v>211</v>
      </c>
      <c r="M70" s="5">
        <v>1400</v>
      </c>
      <c r="N70" s="4" t="s">
        <v>51</v>
      </c>
      <c r="O70" s="4" t="s">
        <v>40</v>
      </c>
      <c r="P70" s="4" t="s">
        <v>212</v>
      </c>
    </row>
    <row r="71" spans="1:16" ht="40.799999999999997" thickBot="1" x14ac:dyDescent="0.35">
      <c r="A71" s="4" t="s">
        <v>370</v>
      </c>
      <c r="B71" s="4" t="s">
        <v>150</v>
      </c>
      <c r="C71" s="4" t="s">
        <v>331</v>
      </c>
      <c r="D71" s="4" t="s">
        <v>206</v>
      </c>
      <c r="E71" s="5">
        <v>24</v>
      </c>
      <c r="F71" s="4">
        <f>91-8050123961</f>
        <v>-8050123870</v>
      </c>
      <c r="G71" s="4" t="s">
        <v>332</v>
      </c>
      <c r="H71" s="6">
        <v>45005</v>
      </c>
      <c r="I71" s="5">
        <v>32</v>
      </c>
      <c r="J71" s="5">
        <v>4.3</v>
      </c>
      <c r="K71" s="4" t="s">
        <v>59</v>
      </c>
      <c r="L71" s="4" t="s">
        <v>55</v>
      </c>
      <c r="M71" s="5">
        <v>95.5</v>
      </c>
      <c r="N71" s="4" t="s">
        <v>23</v>
      </c>
      <c r="O71" s="4" t="s">
        <v>56</v>
      </c>
      <c r="P71" s="4" t="s">
        <v>204</v>
      </c>
    </row>
    <row r="72" spans="1:16" ht="54" thickBot="1" x14ac:dyDescent="0.35">
      <c r="A72" s="4" t="s">
        <v>371</v>
      </c>
      <c r="B72" s="4" t="s">
        <v>152</v>
      </c>
      <c r="C72" s="4" t="s">
        <v>299</v>
      </c>
      <c r="D72" s="4" t="s">
        <v>202</v>
      </c>
      <c r="E72" s="5">
        <v>33</v>
      </c>
      <c r="F72" s="4">
        <f>91-9234567861</f>
        <v>-9234567770</v>
      </c>
      <c r="G72" s="4" t="s">
        <v>300</v>
      </c>
      <c r="H72" s="6">
        <v>45179</v>
      </c>
      <c r="I72" s="5">
        <v>63</v>
      </c>
      <c r="J72" s="5">
        <v>4.6500000000000004</v>
      </c>
      <c r="K72" s="4" t="s">
        <v>26</v>
      </c>
      <c r="L72" s="4" t="s">
        <v>29</v>
      </c>
      <c r="M72" s="5">
        <v>680</v>
      </c>
      <c r="N72" s="4" t="s">
        <v>30</v>
      </c>
      <c r="O72" s="4" t="s">
        <v>51</v>
      </c>
      <c r="P72" s="4" t="s">
        <v>212</v>
      </c>
    </row>
    <row r="73" spans="1:16" ht="40.799999999999997" thickBot="1" x14ac:dyDescent="0.35">
      <c r="A73" s="4" t="s">
        <v>372</v>
      </c>
      <c r="B73" s="4" t="s">
        <v>153</v>
      </c>
      <c r="C73" s="4" t="s">
        <v>373</v>
      </c>
      <c r="D73" s="4" t="s">
        <v>202</v>
      </c>
      <c r="E73" s="5">
        <v>27</v>
      </c>
      <c r="F73" s="4">
        <f>91-8147012361</f>
        <v>-8147012270</v>
      </c>
      <c r="G73" s="4" t="s">
        <v>374</v>
      </c>
      <c r="H73" s="6">
        <v>45250</v>
      </c>
      <c r="I73" s="5">
        <v>16</v>
      </c>
      <c r="J73" s="5">
        <v>4.05</v>
      </c>
      <c r="K73" s="4" t="s">
        <v>32</v>
      </c>
      <c r="L73" s="4" t="s">
        <v>35</v>
      </c>
      <c r="M73" s="5">
        <v>10</v>
      </c>
      <c r="N73" s="4" t="s">
        <v>56</v>
      </c>
      <c r="O73" s="4" t="s">
        <v>44</v>
      </c>
      <c r="P73" s="4" t="s">
        <v>31</v>
      </c>
    </row>
    <row r="74" spans="1:16" ht="54" thickBot="1" x14ac:dyDescent="0.35">
      <c r="A74" s="4" t="s">
        <v>375</v>
      </c>
      <c r="B74" s="4" t="s">
        <v>154</v>
      </c>
      <c r="C74" s="4" t="s">
        <v>376</v>
      </c>
      <c r="D74" s="4" t="s">
        <v>206</v>
      </c>
      <c r="E74" s="5">
        <v>22</v>
      </c>
      <c r="F74" s="4">
        <f>91-9886012361</f>
        <v>-9886012270</v>
      </c>
      <c r="G74" s="4" t="s">
        <v>377</v>
      </c>
      <c r="H74" s="6">
        <v>45051</v>
      </c>
      <c r="I74" s="5">
        <v>44</v>
      </c>
      <c r="J74" s="5">
        <v>4.5</v>
      </c>
      <c r="K74" s="4" t="s">
        <v>59</v>
      </c>
      <c r="L74" s="4" t="s">
        <v>222</v>
      </c>
      <c r="M74" s="5">
        <v>320</v>
      </c>
      <c r="N74" s="4" t="s">
        <v>40</v>
      </c>
      <c r="O74" s="4" t="s">
        <v>36</v>
      </c>
      <c r="P74" s="4" t="s">
        <v>204</v>
      </c>
    </row>
    <row r="75" spans="1:16" ht="40.799999999999997" thickBot="1" x14ac:dyDescent="0.35">
      <c r="A75" s="4" t="s">
        <v>378</v>
      </c>
      <c r="B75" s="4" t="s">
        <v>156</v>
      </c>
      <c r="C75" s="4" t="s">
        <v>379</v>
      </c>
      <c r="D75" s="4" t="s">
        <v>206</v>
      </c>
      <c r="E75" s="5">
        <v>28</v>
      </c>
      <c r="F75" s="4">
        <f>91-7022012361</f>
        <v>-7022012270</v>
      </c>
      <c r="G75" s="4" t="s">
        <v>380</v>
      </c>
      <c r="H75" s="6">
        <v>45209</v>
      </c>
      <c r="I75" s="5">
        <v>12</v>
      </c>
      <c r="J75" s="5">
        <v>3.98</v>
      </c>
      <c r="K75" s="4" t="s">
        <v>20</v>
      </c>
      <c r="L75" s="4" t="s">
        <v>39</v>
      </c>
      <c r="M75" s="5">
        <v>0</v>
      </c>
      <c r="N75" s="4" t="s">
        <v>48</v>
      </c>
      <c r="O75" s="4" t="s">
        <v>45</v>
      </c>
      <c r="P75" s="4" t="s">
        <v>31</v>
      </c>
    </row>
    <row r="76" spans="1:16" ht="40.799999999999997" thickBot="1" x14ac:dyDescent="0.35">
      <c r="A76" s="4" t="s">
        <v>381</v>
      </c>
      <c r="B76" s="4" t="s">
        <v>157</v>
      </c>
      <c r="C76" s="4" t="s">
        <v>382</v>
      </c>
      <c r="D76" s="4" t="s">
        <v>202</v>
      </c>
      <c r="E76" s="5">
        <v>39</v>
      </c>
      <c r="F76" s="4">
        <f>91-9141012361</f>
        <v>-9141012270</v>
      </c>
      <c r="G76" s="4" t="s">
        <v>383</v>
      </c>
      <c r="H76" s="6">
        <v>45119</v>
      </c>
      <c r="I76" s="5">
        <v>102</v>
      </c>
      <c r="J76" s="5">
        <v>4.8</v>
      </c>
      <c r="K76" s="4" t="s">
        <v>59</v>
      </c>
      <c r="L76" s="4" t="s">
        <v>211</v>
      </c>
      <c r="M76" s="5">
        <v>1700</v>
      </c>
      <c r="N76" s="4" t="s">
        <v>36</v>
      </c>
      <c r="O76" s="4" t="s">
        <v>30</v>
      </c>
      <c r="P76" s="4" t="s">
        <v>212</v>
      </c>
    </row>
    <row r="77" spans="1:16" ht="40.799999999999997" thickBot="1" x14ac:dyDescent="0.35">
      <c r="A77" s="4" t="s">
        <v>384</v>
      </c>
      <c r="B77" s="4" t="s">
        <v>159</v>
      </c>
      <c r="C77" s="4" t="s">
        <v>385</v>
      </c>
      <c r="D77" s="4" t="s">
        <v>206</v>
      </c>
      <c r="E77" s="5">
        <v>21</v>
      </c>
      <c r="F77" s="4">
        <f>91-8050987961</f>
        <v>-8050987870</v>
      </c>
      <c r="G77" s="4" t="s">
        <v>386</v>
      </c>
      <c r="H77" s="6">
        <v>45194</v>
      </c>
      <c r="I77" s="5">
        <v>22</v>
      </c>
      <c r="J77" s="5">
        <v>4.22</v>
      </c>
      <c r="K77" s="4" t="s">
        <v>26</v>
      </c>
      <c r="L77" s="4" t="s">
        <v>29</v>
      </c>
      <c r="M77" s="5">
        <v>35</v>
      </c>
      <c r="N77" s="4" t="s">
        <v>44</v>
      </c>
      <c r="O77" s="4" t="s">
        <v>56</v>
      </c>
      <c r="P77" s="4" t="s">
        <v>31</v>
      </c>
    </row>
    <row r="78" spans="1:16" ht="40.799999999999997" thickBot="1" x14ac:dyDescent="0.35">
      <c r="A78" s="4" t="s">
        <v>387</v>
      </c>
      <c r="B78" s="4" t="s">
        <v>160</v>
      </c>
      <c r="C78" s="4" t="s">
        <v>241</v>
      </c>
      <c r="D78" s="4" t="s">
        <v>202</v>
      </c>
      <c r="E78" s="5">
        <v>35</v>
      </c>
      <c r="F78" s="4">
        <f>91-9742012361</f>
        <v>-9742012270</v>
      </c>
      <c r="G78" s="4" t="s">
        <v>242</v>
      </c>
      <c r="H78" s="6">
        <v>44982</v>
      </c>
      <c r="I78" s="5">
        <v>72</v>
      </c>
      <c r="J78" s="5">
        <v>4.62</v>
      </c>
      <c r="K78" s="4" t="s">
        <v>59</v>
      </c>
      <c r="L78" s="4" t="s">
        <v>55</v>
      </c>
      <c r="M78" s="5">
        <v>520</v>
      </c>
      <c r="N78" s="4" t="s">
        <v>16</v>
      </c>
      <c r="O78" s="4" t="s">
        <v>51</v>
      </c>
      <c r="P78" s="4" t="s">
        <v>204</v>
      </c>
    </row>
    <row r="79" spans="1:16" ht="40.799999999999997" thickBot="1" x14ac:dyDescent="0.35">
      <c r="A79" s="4" t="s">
        <v>388</v>
      </c>
      <c r="B79" s="4" t="s">
        <v>161</v>
      </c>
      <c r="C79" s="4" t="s">
        <v>389</v>
      </c>
      <c r="D79" s="4" t="s">
        <v>206</v>
      </c>
      <c r="E79" s="5">
        <v>38</v>
      </c>
      <c r="F79" s="4">
        <f>91-8884012361</f>
        <v>-8884012270</v>
      </c>
      <c r="G79" s="4" t="s">
        <v>390</v>
      </c>
      <c r="H79" s="6">
        <v>44956</v>
      </c>
      <c r="I79" s="5">
        <v>36</v>
      </c>
      <c r="J79" s="5">
        <v>4.22</v>
      </c>
      <c r="K79" s="4" t="s">
        <v>32</v>
      </c>
      <c r="L79" s="4" t="s">
        <v>35</v>
      </c>
      <c r="M79" s="5">
        <v>5</v>
      </c>
      <c r="N79" s="4" t="s">
        <v>51</v>
      </c>
      <c r="O79" s="4" t="s">
        <v>23</v>
      </c>
      <c r="P79" s="4" t="s">
        <v>31</v>
      </c>
    </row>
    <row r="80" spans="1:16" ht="54" thickBot="1" x14ac:dyDescent="0.35">
      <c r="A80" s="4" t="s">
        <v>391</v>
      </c>
      <c r="B80" s="4" t="s">
        <v>163</v>
      </c>
      <c r="C80" s="4" t="s">
        <v>392</v>
      </c>
      <c r="D80" s="4" t="s">
        <v>202</v>
      </c>
      <c r="E80" s="5">
        <v>33</v>
      </c>
      <c r="F80" s="4">
        <f>91-9164012361</f>
        <v>-9164012270</v>
      </c>
      <c r="G80" s="4" t="s">
        <v>393</v>
      </c>
      <c r="H80" s="6">
        <v>44986</v>
      </c>
      <c r="I80" s="5">
        <v>11</v>
      </c>
      <c r="J80" s="5">
        <v>4.0999999999999996</v>
      </c>
      <c r="K80" s="4" t="s">
        <v>20</v>
      </c>
      <c r="L80" s="4" t="s">
        <v>39</v>
      </c>
      <c r="M80" s="5">
        <v>0</v>
      </c>
      <c r="N80" s="4" t="s">
        <v>23</v>
      </c>
      <c r="O80" s="4" t="s">
        <v>16</v>
      </c>
      <c r="P80" s="4" t="s">
        <v>31</v>
      </c>
    </row>
    <row r="81" spans="1:16" ht="40.799999999999997" thickBot="1" x14ac:dyDescent="0.35">
      <c r="A81" s="4" t="s">
        <v>394</v>
      </c>
      <c r="B81" s="4" t="s">
        <v>164</v>
      </c>
      <c r="C81" s="4" t="s">
        <v>395</v>
      </c>
      <c r="D81" s="4" t="s">
        <v>206</v>
      </c>
      <c r="E81" s="5">
        <v>29</v>
      </c>
      <c r="F81" s="4">
        <f>91-7259012361</f>
        <v>-7259012270</v>
      </c>
      <c r="G81" s="4" t="s">
        <v>396</v>
      </c>
      <c r="H81" s="6">
        <v>45092</v>
      </c>
      <c r="I81" s="5">
        <v>47</v>
      </c>
      <c r="J81" s="5">
        <v>4.42</v>
      </c>
      <c r="K81" s="4" t="s">
        <v>59</v>
      </c>
      <c r="L81" s="4" t="s">
        <v>222</v>
      </c>
      <c r="M81" s="5">
        <v>200</v>
      </c>
      <c r="N81" s="4" t="s">
        <v>45</v>
      </c>
      <c r="O81" s="4" t="s">
        <v>30</v>
      </c>
      <c r="P81" s="4" t="s">
        <v>204</v>
      </c>
    </row>
    <row r="82" spans="1:16" ht="40.799999999999997" thickBot="1" x14ac:dyDescent="0.35">
      <c r="A82" s="4" t="s">
        <v>397</v>
      </c>
      <c r="B82" s="4" t="s">
        <v>165</v>
      </c>
      <c r="C82" s="4" t="s">
        <v>398</v>
      </c>
      <c r="D82" s="4" t="s">
        <v>202</v>
      </c>
      <c r="E82" s="5">
        <v>25</v>
      </c>
      <c r="F82" s="4">
        <f>91-8277012361</f>
        <v>-8277012270</v>
      </c>
      <c r="G82" s="4" t="s">
        <v>399</v>
      </c>
      <c r="H82" s="6">
        <v>45148</v>
      </c>
      <c r="I82" s="5">
        <v>82</v>
      </c>
      <c r="J82" s="5">
        <v>4.78</v>
      </c>
      <c r="K82" s="4" t="s">
        <v>26</v>
      </c>
      <c r="L82" s="4" t="s">
        <v>29</v>
      </c>
      <c r="M82" s="5">
        <v>750</v>
      </c>
      <c r="N82" s="4" t="s">
        <v>30</v>
      </c>
      <c r="O82" s="4" t="s">
        <v>48</v>
      </c>
      <c r="P82" s="4" t="s">
        <v>212</v>
      </c>
    </row>
    <row r="83" spans="1:16" ht="54" thickBot="1" x14ac:dyDescent="0.35">
      <c r="A83" s="4" t="s">
        <v>400</v>
      </c>
      <c r="B83" s="4" t="s">
        <v>166</v>
      </c>
      <c r="C83" s="4" t="s">
        <v>401</v>
      </c>
      <c r="D83" s="4" t="s">
        <v>206</v>
      </c>
      <c r="E83" s="5">
        <v>26</v>
      </c>
      <c r="F83" s="4">
        <f>91-9900012361</f>
        <v>-9900012270</v>
      </c>
      <c r="G83" s="4" t="s">
        <v>402</v>
      </c>
      <c r="H83" s="6">
        <v>45265</v>
      </c>
      <c r="I83" s="5">
        <v>26</v>
      </c>
      <c r="J83" s="5">
        <v>4.32</v>
      </c>
      <c r="K83" s="4" t="s">
        <v>59</v>
      </c>
      <c r="L83" s="4" t="s">
        <v>55</v>
      </c>
      <c r="M83" s="5">
        <v>125</v>
      </c>
      <c r="N83" s="4" t="s">
        <v>56</v>
      </c>
      <c r="O83" s="4" t="s">
        <v>36</v>
      </c>
      <c r="P83" s="4" t="s">
        <v>204</v>
      </c>
    </row>
    <row r="84" spans="1:16" ht="54" thickBot="1" x14ac:dyDescent="0.35">
      <c r="A84" s="4" t="s">
        <v>403</v>
      </c>
      <c r="B84" s="4" t="s">
        <v>168</v>
      </c>
      <c r="C84" s="4" t="s">
        <v>404</v>
      </c>
      <c r="D84" s="4" t="s">
        <v>202</v>
      </c>
      <c r="E84" s="5">
        <v>29</v>
      </c>
      <c r="F84" s="4">
        <f>91-7019012361</f>
        <v>-7019012270</v>
      </c>
      <c r="G84" s="4" t="s">
        <v>405</v>
      </c>
      <c r="H84" s="6">
        <v>44972</v>
      </c>
      <c r="I84" s="5">
        <v>6</v>
      </c>
      <c r="J84" s="5">
        <v>3.75</v>
      </c>
      <c r="K84" s="4" t="s">
        <v>32</v>
      </c>
      <c r="L84" s="4" t="s">
        <v>211</v>
      </c>
      <c r="M84" s="5">
        <v>0</v>
      </c>
      <c r="N84" s="4" t="s">
        <v>40</v>
      </c>
      <c r="O84" s="4" t="s">
        <v>51</v>
      </c>
      <c r="P84" s="4" t="s">
        <v>31</v>
      </c>
    </row>
    <row r="85" spans="1:16" ht="40.799999999999997" thickBot="1" x14ac:dyDescent="0.35">
      <c r="A85" s="4" t="s">
        <v>406</v>
      </c>
      <c r="B85" s="4" t="s">
        <v>169</v>
      </c>
      <c r="C85" s="4" t="s">
        <v>407</v>
      </c>
      <c r="D85" s="4" t="s">
        <v>206</v>
      </c>
      <c r="E85" s="5">
        <v>31</v>
      </c>
      <c r="F85" s="4">
        <f>91-9448012361</f>
        <v>-9448012270</v>
      </c>
      <c r="G85" s="4" t="s">
        <v>408</v>
      </c>
      <c r="H85" s="6">
        <v>45250</v>
      </c>
      <c r="I85" s="5">
        <v>39</v>
      </c>
      <c r="J85" s="5">
        <v>4.3499999999999996</v>
      </c>
      <c r="K85" s="4" t="s">
        <v>20</v>
      </c>
      <c r="L85" s="4" t="s">
        <v>29</v>
      </c>
      <c r="M85" s="5">
        <v>30</v>
      </c>
      <c r="N85" s="4" t="s">
        <v>48</v>
      </c>
      <c r="O85" s="4" t="s">
        <v>56</v>
      </c>
      <c r="P85" s="4" t="s">
        <v>204</v>
      </c>
    </row>
    <row r="86" spans="1:16" ht="40.799999999999997" thickBot="1" x14ac:dyDescent="0.35">
      <c r="A86" s="4" t="s">
        <v>409</v>
      </c>
      <c r="B86" s="4" t="s">
        <v>170</v>
      </c>
      <c r="C86" s="4" t="s">
        <v>410</v>
      </c>
      <c r="D86" s="4" t="s">
        <v>202</v>
      </c>
      <c r="E86" s="5">
        <v>36</v>
      </c>
      <c r="F86" s="4">
        <f>91-9945012361</f>
        <v>-9945012270</v>
      </c>
      <c r="G86" s="4" t="s">
        <v>411</v>
      </c>
      <c r="H86" s="6">
        <v>44951</v>
      </c>
      <c r="I86" s="5">
        <v>63</v>
      </c>
      <c r="J86" s="5">
        <v>4.58</v>
      </c>
      <c r="K86" s="4" t="s">
        <v>59</v>
      </c>
      <c r="L86" s="4" t="s">
        <v>35</v>
      </c>
      <c r="M86" s="5">
        <v>390</v>
      </c>
      <c r="N86" s="4" t="s">
        <v>36</v>
      </c>
      <c r="O86" s="4" t="s">
        <v>40</v>
      </c>
      <c r="P86" s="4" t="s">
        <v>212</v>
      </c>
    </row>
    <row r="87" spans="1:16" ht="40.799999999999997" thickBot="1" x14ac:dyDescent="0.35">
      <c r="A87" s="4" t="s">
        <v>412</v>
      </c>
      <c r="B87" s="4" t="s">
        <v>171</v>
      </c>
      <c r="C87" s="4" t="s">
        <v>413</v>
      </c>
      <c r="D87" s="4" t="s">
        <v>206</v>
      </c>
      <c r="E87" s="5">
        <v>24</v>
      </c>
      <c r="F87" s="4">
        <f>91-8095012361</f>
        <v>-8095012270</v>
      </c>
      <c r="G87" s="4" t="s">
        <v>414</v>
      </c>
      <c r="H87" s="6">
        <v>45168</v>
      </c>
      <c r="I87" s="5">
        <v>15</v>
      </c>
      <c r="J87" s="5">
        <v>4.1500000000000004</v>
      </c>
      <c r="K87" s="4" t="s">
        <v>26</v>
      </c>
      <c r="L87" s="4" t="s">
        <v>39</v>
      </c>
      <c r="M87" s="5">
        <v>50</v>
      </c>
      <c r="N87" s="4" t="s">
        <v>44</v>
      </c>
      <c r="O87" s="4" t="s">
        <v>30</v>
      </c>
      <c r="P87" s="4" t="s">
        <v>31</v>
      </c>
    </row>
    <row r="88" spans="1:16" ht="40.799999999999997" thickBot="1" x14ac:dyDescent="0.35">
      <c r="A88" s="4" t="s">
        <v>415</v>
      </c>
      <c r="B88" s="4" t="s">
        <v>172</v>
      </c>
      <c r="C88" s="4" t="s">
        <v>416</v>
      </c>
      <c r="D88" s="4" t="s">
        <v>202</v>
      </c>
      <c r="E88" s="5">
        <v>31</v>
      </c>
      <c r="F88" s="4">
        <f>91-9123456751</f>
        <v>-9123456660</v>
      </c>
      <c r="G88" s="4" t="s">
        <v>417</v>
      </c>
      <c r="H88" s="6">
        <v>45108</v>
      </c>
      <c r="I88" s="5">
        <v>47</v>
      </c>
      <c r="J88" s="5">
        <v>4.45</v>
      </c>
      <c r="K88" s="4" t="s">
        <v>59</v>
      </c>
      <c r="L88" s="4" t="s">
        <v>222</v>
      </c>
      <c r="M88" s="5">
        <v>190</v>
      </c>
      <c r="N88" s="4" t="s">
        <v>45</v>
      </c>
      <c r="O88" s="4" t="s">
        <v>16</v>
      </c>
      <c r="P88" s="4" t="s">
        <v>204</v>
      </c>
    </row>
    <row r="89" spans="1:16" ht="54" thickBot="1" x14ac:dyDescent="0.35">
      <c r="A89" s="4" t="s">
        <v>418</v>
      </c>
      <c r="B89" s="4" t="s">
        <v>173</v>
      </c>
      <c r="C89" s="4" t="s">
        <v>419</v>
      </c>
      <c r="D89" s="4" t="s">
        <v>206</v>
      </c>
      <c r="E89" s="5">
        <v>22</v>
      </c>
      <c r="F89" s="4">
        <f>91-7760123951</f>
        <v>-7760123860</v>
      </c>
      <c r="G89" s="4" t="s">
        <v>420</v>
      </c>
      <c r="H89" s="6">
        <v>45071</v>
      </c>
      <c r="I89" s="5">
        <v>33</v>
      </c>
      <c r="J89" s="5">
        <v>4.3499999999999996</v>
      </c>
      <c r="K89" s="4" t="s">
        <v>32</v>
      </c>
      <c r="L89" s="4" t="s">
        <v>29</v>
      </c>
      <c r="M89" s="5">
        <v>20</v>
      </c>
      <c r="N89" s="4" t="s">
        <v>16</v>
      </c>
      <c r="O89" s="4" t="s">
        <v>23</v>
      </c>
      <c r="P89" s="4" t="s">
        <v>31</v>
      </c>
    </row>
    <row r="90" spans="1:16" ht="40.799999999999997" thickBot="1" x14ac:dyDescent="0.35">
      <c r="A90" s="4" t="s">
        <v>421</v>
      </c>
      <c r="B90" s="4" t="s">
        <v>174</v>
      </c>
      <c r="C90" s="4" t="s">
        <v>422</v>
      </c>
      <c r="D90" s="4" t="s">
        <v>202</v>
      </c>
      <c r="E90" s="5">
        <v>41</v>
      </c>
      <c r="F90" s="4">
        <f>91-9008123951</f>
        <v>-9008123860</v>
      </c>
      <c r="G90" s="4" t="s">
        <v>423</v>
      </c>
      <c r="H90" s="6">
        <v>45174</v>
      </c>
      <c r="I90" s="5">
        <v>112</v>
      </c>
      <c r="J90" s="5">
        <v>4.88</v>
      </c>
      <c r="K90" s="4" t="s">
        <v>20</v>
      </c>
      <c r="L90" s="4" t="s">
        <v>211</v>
      </c>
      <c r="M90" s="5">
        <v>1200</v>
      </c>
      <c r="N90" s="4" t="s">
        <v>51</v>
      </c>
      <c r="O90" s="4" t="s">
        <v>44</v>
      </c>
      <c r="P90" s="4" t="s">
        <v>212</v>
      </c>
    </row>
    <row r="91" spans="1:16" ht="40.799999999999997" thickBot="1" x14ac:dyDescent="0.35">
      <c r="A91" s="4" t="s">
        <v>424</v>
      </c>
      <c r="B91" s="4" t="s">
        <v>175</v>
      </c>
      <c r="C91" s="4" t="s">
        <v>385</v>
      </c>
      <c r="D91" s="4" t="s">
        <v>206</v>
      </c>
      <c r="E91" s="5">
        <v>23</v>
      </c>
      <c r="F91" s="4">
        <f>91-8050123951</f>
        <v>-8050123860</v>
      </c>
      <c r="G91" s="4" t="s">
        <v>386</v>
      </c>
      <c r="H91" s="6">
        <v>45250</v>
      </c>
      <c r="I91" s="5">
        <v>28</v>
      </c>
      <c r="J91" s="5">
        <v>4.25</v>
      </c>
      <c r="K91" s="4" t="s">
        <v>59</v>
      </c>
      <c r="L91" s="4" t="s">
        <v>55</v>
      </c>
      <c r="M91" s="5">
        <v>75.5</v>
      </c>
      <c r="N91" s="4" t="s">
        <v>23</v>
      </c>
      <c r="O91" s="4" t="s">
        <v>51</v>
      </c>
      <c r="P91" s="4" t="s">
        <v>204</v>
      </c>
    </row>
    <row r="92" spans="1:16" ht="40.799999999999997" thickBot="1" x14ac:dyDescent="0.35">
      <c r="A92" s="4" t="s">
        <v>425</v>
      </c>
      <c r="B92" s="4" t="s">
        <v>176</v>
      </c>
      <c r="C92" s="4" t="s">
        <v>350</v>
      </c>
      <c r="D92" s="4" t="s">
        <v>202</v>
      </c>
      <c r="E92" s="5">
        <v>32</v>
      </c>
      <c r="F92" s="4">
        <f>91-9234567851</f>
        <v>-9234567760</v>
      </c>
      <c r="G92" s="4" t="s">
        <v>351</v>
      </c>
      <c r="H92" s="6">
        <v>44967</v>
      </c>
      <c r="I92" s="5">
        <v>58</v>
      </c>
      <c r="J92" s="5">
        <v>4.5999999999999996</v>
      </c>
      <c r="K92" s="4" t="s">
        <v>26</v>
      </c>
      <c r="L92" s="4" t="s">
        <v>29</v>
      </c>
      <c r="M92" s="5">
        <v>580</v>
      </c>
      <c r="N92" s="4" t="s">
        <v>30</v>
      </c>
      <c r="O92" s="4" t="s">
        <v>40</v>
      </c>
      <c r="P92" s="4" t="s">
        <v>212</v>
      </c>
    </row>
    <row r="93" spans="1:16" ht="40.799999999999997" thickBot="1" x14ac:dyDescent="0.35">
      <c r="A93" s="4" t="s">
        <v>426</v>
      </c>
      <c r="B93" s="4" t="s">
        <v>177</v>
      </c>
      <c r="C93" s="4" t="s">
        <v>319</v>
      </c>
      <c r="D93" s="4" t="s">
        <v>202</v>
      </c>
      <c r="E93" s="5">
        <v>26</v>
      </c>
      <c r="F93" s="4">
        <f>91-8147012351</f>
        <v>-8147012260</v>
      </c>
      <c r="G93" s="4" t="s">
        <v>320</v>
      </c>
      <c r="H93" s="6">
        <v>45036</v>
      </c>
      <c r="I93" s="5">
        <v>14</v>
      </c>
      <c r="J93" s="5">
        <v>4</v>
      </c>
      <c r="K93" s="4" t="s">
        <v>32</v>
      </c>
      <c r="L93" s="4" t="s">
        <v>35</v>
      </c>
      <c r="M93" s="5">
        <v>5</v>
      </c>
      <c r="N93" s="4" t="s">
        <v>56</v>
      </c>
      <c r="O93" s="4" t="s">
        <v>48</v>
      </c>
      <c r="P93" s="4" t="s">
        <v>31</v>
      </c>
    </row>
    <row r="94" spans="1:16" ht="40.799999999999997" thickBot="1" x14ac:dyDescent="0.35">
      <c r="A94" s="4" t="s">
        <v>427</v>
      </c>
      <c r="B94" s="4" t="s">
        <v>178</v>
      </c>
      <c r="C94" s="4" t="s">
        <v>276</v>
      </c>
      <c r="D94" s="4" t="s">
        <v>206</v>
      </c>
      <c r="E94" s="5">
        <v>21</v>
      </c>
      <c r="F94" s="4">
        <f>91-9886012351</f>
        <v>-9886012260</v>
      </c>
      <c r="G94" s="4" t="s">
        <v>277</v>
      </c>
      <c r="H94" s="6">
        <v>45143</v>
      </c>
      <c r="I94" s="5">
        <v>39</v>
      </c>
      <c r="J94" s="5">
        <v>4.45</v>
      </c>
      <c r="K94" s="4" t="s">
        <v>59</v>
      </c>
      <c r="L94" s="4" t="s">
        <v>222</v>
      </c>
      <c r="M94" s="5">
        <v>250</v>
      </c>
      <c r="N94" s="4" t="s">
        <v>40</v>
      </c>
      <c r="O94" s="4" t="s">
        <v>23</v>
      </c>
      <c r="P94" s="4" t="s">
        <v>204</v>
      </c>
    </row>
    <row r="95" spans="1:16" ht="54" thickBot="1" x14ac:dyDescent="0.35">
      <c r="A95" s="4" t="s">
        <v>428</v>
      </c>
      <c r="B95" s="4" t="s">
        <v>179</v>
      </c>
      <c r="C95" s="4" t="s">
        <v>429</v>
      </c>
      <c r="D95" s="4" t="s">
        <v>206</v>
      </c>
      <c r="E95" s="5">
        <v>27</v>
      </c>
      <c r="F95" s="4">
        <f>91-7022012351</f>
        <v>-7022012260</v>
      </c>
      <c r="G95" s="4" t="s">
        <v>430</v>
      </c>
      <c r="H95" s="6">
        <v>44995</v>
      </c>
      <c r="I95" s="5">
        <v>10</v>
      </c>
      <c r="J95" s="5">
        <v>3.92</v>
      </c>
      <c r="K95" s="4" t="s">
        <v>20</v>
      </c>
      <c r="L95" s="4" t="s">
        <v>39</v>
      </c>
      <c r="M95" s="5">
        <v>0</v>
      </c>
      <c r="N95" s="4" t="s">
        <v>48</v>
      </c>
      <c r="O95" s="4" t="s">
        <v>51</v>
      </c>
      <c r="P95" s="4" t="s">
        <v>31</v>
      </c>
    </row>
    <row r="96" spans="1:16" ht="40.799999999999997" thickBot="1" x14ac:dyDescent="0.35">
      <c r="A96" s="4" t="s">
        <v>431</v>
      </c>
      <c r="B96" s="4" t="s">
        <v>180</v>
      </c>
      <c r="C96" s="4" t="s">
        <v>432</v>
      </c>
      <c r="D96" s="4" t="s">
        <v>202</v>
      </c>
      <c r="E96" s="5">
        <v>38</v>
      </c>
      <c r="F96" s="4">
        <f>91-9141012351</f>
        <v>-9141012260</v>
      </c>
      <c r="G96" s="4" t="s">
        <v>433</v>
      </c>
      <c r="H96" s="6">
        <v>45272</v>
      </c>
      <c r="I96" s="5">
        <v>95</v>
      </c>
      <c r="J96" s="5">
        <v>4.75</v>
      </c>
      <c r="K96" s="4" t="s">
        <v>59</v>
      </c>
      <c r="L96" s="4" t="s">
        <v>211</v>
      </c>
      <c r="M96" s="5">
        <v>1500</v>
      </c>
      <c r="N96" s="4" t="s">
        <v>36</v>
      </c>
      <c r="O96" s="4" t="s">
        <v>45</v>
      </c>
      <c r="P96" s="4" t="s">
        <v>212</v>
      </c>
    </row>
    <row r="97" spans="1:16" ht="40.799999999999997" thickBot="1" x14ac:dyDescent="0.35">
      <c r="A97" s="4" t="s">
        <v>434</v>
      </c>
      <c r="B97" s="4" t="s">
        <v>181</v>
      </c>
      <c r="C97" s="4" t="s">
        <v>435</v>
      </c>
      <c r="D97" s="4" t="s">
        <v>206</v>
      </c>
      <c r="E97" s="5">
        <v>20</v>
      </c>
      <c r="F97" s="4">
        <f>91-8050987951</f>
        <v>-8050987860</v>
      </c>
      <c r="G97" s="4" t="s">
        <v>436</v>
      </c>
      <c r="H97" s="6">
        <v>44982</v>
      </c>
      <c r="I97" s="5">
        <v>19</v>
      </c>
      <c r="J97" s="5">
        <v>4.18</v>
      </c>
      <c r="K97" s="4" t="s">
        <v>26</v>
      </c>
      <c r="L97" s="4" t="s">
        <v>29</v>
      </c>
      <c r="M97" s="5">
        <v>25</v>
      </c>
      <c r="N97" s="4" t="s">
        <v>44</v>
      </c>
      <c r="O97" s="4" t="s">
        <v>30</v>
      </c>
      <c r="P97" s="4" t="s">
        <v>31</v>
      </c>
    </row>
    <row r="98" spans="1:16" ht="54" thickBot="1" x14ac:dyDescent="0.35">
      <c r="A98" s="4" t="s">
        <v>437</v>
      </c>
      <c r="B98" s="4" t="s">
        <v>182</v>
      </c>
      <c r="C98" s="4" t="s">
        <v>438</v>
      </c>
      <c r="D98" s="4" t="s">
        <v>202</v>
      </c>
      <c r="E98" s="5">
        <v>34</v>
      </c>
      <c r="F98" s="4">
        <f>91-9742012351</f>
        <v>-9742012260</v>
      </c>
      <c r="G98" s="4" t="s">
        <v>439</v>
      </c>
      <c r="H98" s="6">
        <v>45071</v>
      </c>
      <c r="I98" s="5">
        <v>67</v>
      </c>
      <c r="J98" s="5">
        <v>4.58</v>
      </c>
      <c r="K98" s="4" t="s">
        <v>59</v>
      </c>
      <c r="L98" s="4" t="s">
        <v>55</v>
      </c>
      <c r="M98" s="5">
        <v>450</v>
      </c>
      <c r="N98" s="4" t="s">
        <v>16</v>
      </c>
      <c r="O98" s="4" t="s">
        <v>36</v>
      </c>
      <c r="P98" s="4" t="s">
        <v>204</v>
      </c>
    </row>
    <row r="99" spans="1:16" ht="40.799999999999997" thickBot="1" x14ac:dyDescent="0.35">
      <c r="A99" s="4" t="s">
        <v>440</v>
      </c>
      <c r="B99" s="4" t="s">
        <v>183</v>
      </c>
      <c r="C99" s="4" t="s">
        <v>441</v>
      </c>
      <c r="D99" s="4" t="s">
        <v>206</v>
      </c>
      <c r="E99" s="5">
        <v>37</v>
      </c>
      <c r="F99" s="4">
        <f>91-8884012351</f>
        <v>-8884012260</v>
      </c>
      <c r="G99" s="4" t="s">
        <v>442</v>
      </c>
      <c r="H99" s="6">
        <v>45199</v>
      </c>
      <c r="I99" s="5">
        <v>32</v>
      </c>
      <c r="J99" s="5">
        <v>4.18</v>
      </c>
      <c r="K99" s="4" t="s">
        <v>32</v>
      </c>
      <c r="L99" s="4" t="s">
        <v>35</v>
      </c>
      <c r="M99" s="5">
        <v>0</v>
      </c>
      <c r="N99" s="4" t="s">
        <v>51</v>
      </c>
      <c r="O99" s="4" t="s">
        <v>48</v>
      </c>
      <c r="P99" s="4" t="s">
        <v>31</v>
      </c>
    </row>
    <row r="100" spans="1:16" ht="40.799999999999997" thickBot="1" x14ac:dyDescent="0.35">
      <c r="A100" s="4" t="s">
        <v>443</v>
      </c>
      <c r="B100" s="4" t="s">
        <v>184</v>
      </c>
      <c r="C100" s="4" t="s">
        <v>245</v>
      </c>
      <c r="D100" s="4" t="s">
        <v>202</v>
      </c>
      <c r="E100" s="5">
        <v>32</v>
      </c>
      <c r="F100" s="4">
        <f>91-9164012351</f>
        <v>-9164012260</v>
      </c>
      <c r="G100" s="4" t="s">
        <v>246</v>
      </c>
      <c r="H100" s="6">
        <v>45078</v>
      </c>
      <c r="I100" s="5">
        <v>10</v>
      </c>
      <c r="J100" s="5">
        <v>4.05</v>
      </c>
      <c r="K100" s="4" t="s">
        <v>20</v>
      </c>
      <c r="L100" s="4" t="s">
        <v>39</v>
      </c>
      <c r="M100" s="5">
        <v>0</v>
      </c>
      <c r="N100" s="4" t="s">
        <v>23</v>
      </c>
      <c r="O100" s="4" t="s">
        <v>40</v>
      </c>
      <c r="P100" s="4" t="s">
        <v>31</v>
      </c>
    </row>
    <row r="101" spans="1:16" ht="40.799999999999997" thickBot="1" x14ac:dyDescent="0.35">
      <c r="A101" s="4" t="s">
        <v>444</v>
      </c>
      <c r="B101" s="4" t="s">
        <v>186</v>
      </c>
      <c r="C101" s="4" t="s">
        <v>395</v>
      </c>
      <c r="D101" s="4" t="s">
        <v>206</v>
      </c>
      <c r="E101" s="5">
        <v>28</v>
      </c>
      <c r="F101" s="4">
        <f>91-7259012351</f>
        <v>-7259012260</v>
      </c>
      <c r="G101" s="4" t="s">
        <v>396</v>
      </c>
      <c r="H101" s="6">
        <v>45275</v>
      </c>
      <c r="I101" s="5">
        <v>42</v>
      </c>
      <c r="J101" s="5">
        <v>4.38</v>
      </c>
      <c r="K101" s="4" t="s">
        <v>59</v>
      </c>
      <c r="L101" s="4" t="s">
        <v>222</v>
      </c>
      <c r="M101" s="5">
        <v>150</v>
      </c>
      <c r="N101" s="4" t="s">
        <v>45</v>
      </c>
      <c r="O101" s="4" t="s">
        <v>23</v>
      </c>
      <c r="P101" s="4" t="s">
        <v>204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Rider</vt:lpstr>
      <vt:lpstr>User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Rishav singh</dc:creator>
  <cp:lastModifiedBy>Rishav singh</cp:lastModifiedBy>
  <dcterms:created xsi:type="dcterms:W3CDTF">2026-01-22T13:59:36Z</dcterms:created>
  <dcterms:modified xsi:type="dcterms:W3CDTF">2026-02-09T06:04:49Z</dcterms:modified>
</cp:coreProperties>
</file>